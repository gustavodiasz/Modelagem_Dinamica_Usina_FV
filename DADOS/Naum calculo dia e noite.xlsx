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mf\Documents\Naum\Naum 2025\Alunos\Leonardo\Passa baixo\"/>
    </mc:Choice>
  </mc:AlternateContent>
  <xr:revisionPtr revIDLastSave="0" documentId="13_ncr:1_{B91EFA75-2F5B-4DCD-8F5B-D9C5ECAEEB47}" xr6:coauthVersionLast="47" xr6:coauthVersionMax="47" xr10:uidLastSave="{00000000-0000-0000-0000-000000000000}"/>
  <bookViews>
    <workbookView xWindow="-108" yWindow="-108" windowWidth="16608" windowHeight="8712" xr2:uid="{0F6C5031-2656-44A7-8B96-795F18E7279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7" i="1" l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6" i="1"/>
  <c r="AA33" i="1"/>
  <c r="Z7" i="1"/>
  <c r="AA7" i="1" s="1"/>
  <c r="Z15" i="1"/>
  <c r="AA15" i="1" s="1"/>
  <c r="Z23" i="1"/>
  <c r="AA23" i="1" s="1"/>
  <c r="Z31" i="1"/>
  <c r="AA31" i="1" s="1"/>
  <c r="Z40" i="1"/>
  <c r="AA40" i="1" s="1"/>
  <c r="Z64" i="1"/>
  <c r="AA64" i="1" s="1"/>
  <c r="Z72" i="1"/>
  <c r="AA72" i="1" s="1"/>
  <c r="Z80" i="1"/>
  <c r="AA80" i="1" s="1"/>
  <c r="Z88" i="1"/>
  <c r="AA88" i="1" s="1"/>
  <c r="Z96" i="1"/>
  <c r="AA96" i="1" s="1"/>
  <c r="Z104" i="1"/>
  <c r="AA104" i="1" s="1"/>
  <c r="Z128" i="1"/>
  <c r="AA128" i="1" s="1"/>
  <c r="Z136" i="1"/>
  <c r="AA136" i="1" s="1"/>
  <c r="Z144" i="1"/>
  <c r="AA144" i="1" s="1"/>
  <c r="Z152" i="1"/>
  <c r="AA152" i="1" s="1"/>
  <c r="Z160" i="1"/>
  <c r="AA160" i="1" s="1"/>
  <c r="Z167" i="1"/>
  <c r="AA167" i="1" s="1"/>
  <c r="Z175" i="1"/>
  <c r="AA175" i="1" s="1"/>
  <c r="Z176" i="1"/>
  <c r="AA176" i="1" s="1"/>
  <c r="Z183" i="1"/>
  <c r="AA183" i="1" s="1"/>
  <c r="Z184" i="1"/>
  <c r="AA184" i="1" s="1"/>
  <c r="Z199" i="1"/>
  <c r="AA199" i="1" s="1"/>
  <c r="Z200" i="1"/>
  <c r="AA200" i="1" s="1"/>
  <c r="Z208" i="1"/>
  <c r="AA208" i="1" s="1"/>
  <c r="Z216" i="1"/>
  <c r="AA216" i="1" s="1"/>
  <c r="Z224" i="1"/>
  <c r="AA224" i="1" s="1"/>
  <c r="Z231" i="1"/>
  <c r="AA231" i="1" s="1"/>
  <c r="Z239" i="1"/>
  <c r="AA239" i="1" s="1"/>
  <c r="Z248" i="1"/>
  <c r="AA248" i="1" s="1"/>
  <c r="Z259" i="1"/>
  <c r="AA259" i="1" s="1"/>
  <c r="Z261" i="1"/>
  <c r="AA261" i="1" s="1"/>
  <c r="Z263" i="1"/>
  <c r="AA263" i="1" s="1"/>
  <c r="Z270" i="1"/>
  <c r="AA270" i="1" s="1"/>
  <c r="Z272" i="1"/>
  <c r="AA272" i="1" s="1"/>
  <c r="Z277" i="1"/>
  <c r="AA277" i="1" s="1"/>
  <c r="Z279" i="1"/>
  <c r="AA279" i="1" s="1"/>
  <c r="Z285" i="1"/>
  <c r="AA285" i="1" s="1"/>
  <c r="Z287" i="1"/>
  <c r="AA287" i="1" s="1"/>
  <c r="Z293" i="1"/>
  <c r="AA293" i="1" s="1"/>
  <c r="Z295" i="1"/>
  <c r="AA295" i="1" s="1"/>
  <c r="Z301" i="1"/>
  <c r="AA301" i="1" s="1"/>
  <c r="Z303" i="1"/>
  <c r="AA303" i="1" s="1"/>
  <c r="Z309" i="1"/>
  <c r="AA309" i="1" s="1"/>
  <c r="Z311" i="1"/>
  <c r="AA311" i="1" s="1"/>
  <c r="Z317" i="1"/>
  <c r="AA317" i="1" s="1"/>
  <c r="Z319" i="1"/>
  <c r="AA319" i="1" s="1"/>
  <c r="Z325" i="1"/>
  <c r="AA325" i="1" s="1"/>
  <c r="Z327" i="1"/>
  <c r="AA327" i="1" s="1"/>
  <c r="Z333" i="1"/>
  <c r="AA333" i="1" s="1"/>
  <c r="Z335" i="1"/>
  <c r="AA335" i="1" s="1"/>
  <c r="Z341" i="1"/>
  <c r="AA341" i="1" s="1"/>
  <c r="Z343" i="1"/>
  <c r="AA343" i="1" s="1"/>
  <c r="Z349" i="1"/>
  <c r="AA349" i="1" s="1"/>
  <c r="Z351" i="1"/>
  <c r="AA351" i="1" s="1"/>
  <c r="Z357" i="1"/>
  <c r="AA357" i="1" s="1"/>
  <c r="Z359" i="1"/>
  <c r="AA359" i="1" s="1"/>
  <c r="Z365" i="1"/>
  <c r="AA365" i="1" s="1"/>
  <c r="Z367" i="1"/>
  <c r="AA367" i="1" s="1"/>
  <c r="Z373" i="1"/>
  <c r="AA373" i="1" s="1"/>
  <c r="Z375" i="1"/>
  <c r="AA375" i="1" s="1"/>
  <c r="Z381" i="1"/>
  <c r="AA381" i="1" s="1"/>
  <c r="Z383" i="1"/>
  <c r="AA383" i="1" s="1"/>
  <c r="Z389" i="1"/>
  <c r="AA389" i="1" s="1"/>
  <c r="Z391" i="1"/>
  <c r="AA391" i="1" s="1"/>
  <c r="Z397" i="1"/>
  <c r="AA397" i="1" s="1"/>
  <c r="Z399" i="1"/>
  <c r="AA399" i="1" s="1"/>
  <c r="Z405" i="1"/>
  <c r="AA405" i="1" s="1"/>
  <c r="Z407" i="1"/>
  <c r="AA407" i="1" s="1"/>
  <c r="Z413" i="1"/>
  <c r="AA413" i="1" s="1"/>
  <c r="Z415" i="1"/>
  <c r="AA415" i="1" s="1"/>
  <c r="Y7" i="1"/>
  <c r="Y8" i="1"/>
  <c r="Z8" i="1" s="1"/>
  <c r="AA8" i="1" s="1"/>
  <c r="Y9" i="1"/>
  <c r="Z9" i="1" s="1"/>
  <c r="AA9" i="1" s="1"/>
  <c r="Y10" i="1"/>
  <c r="Z10" i="1" s="1"/>
  <c r="AA10" i="1" s="1"/>
  <c r="Y11" i="1"/>
  <c r="Z11" i="1" s="1"/>
  <c r="AA11" i="1" s="1"/>
  <c r="Y12" i="1"/>
  <c r="Z12" i="1" s="1"/>
  <c r="AA12" i="1" s="1"/>
  <c r="Y13" i="1"/>
  <c r="Z13" i="1" s="1"/>
  <c r="AA13" i="1" s="1"/>
  <c r="Y14" i="1"/>
  <c r="Z14" i="1" s="1"/>
  <c r="AA14" i="1" s="1"/>
  <c r="Y15" i="1"/>
  <c r="Y16" i="1"/>
  <c r="Z16" i="1" s="1"/>
  <c r="AA16" i="1" s="1"/>
  <c r="Y17" i="1"/>
  <c r="Z17" i="1" s="1"/>
  <c r="AA17" i="1" s="1"/>
  <c r="Y18" i="1"/>
  <c r="Z18" i="1" s="1"/>
  <c r="AA18" i="1" s="1"/>
  <c r="Y19" i="1"/>
  <c r="Z19" i="1" s="1"/>
  <c r="AA19" i="1" s="1"/>
  <c r="Y20" i="1"/>
  <c r="Z20" i="1" s="1"/>
  <c r="AA20" i="1" s="1"/>
  <c r="Y21" i="1"/>
  <c r="Z21" i="1" s="1"/>
  <c r="AA21" i="1" s="1"/>
  <c r="Y22" i="1"/>
  <c r="Z22" i="1" s="1"/>
  <c r="AA22" i="1" s="1"/>
  <c r="Y23" i="1"/>
  <c r="Y24" i="1"/>
  <c r="Z24" i="1" s="1"/>
  <c r="AA24" i="1" s="1"/>
  <c r="Y25" i="1"/>
  <c r="Z25" i="1" s="1"/>
  <c r="AA25" i="1" s="1"/>
  <c r="Y26" i="1"/>
  <c r="Z26" i="1" s="1"/>
  <c r="AA26" i="1" s="1"/>
  <c r="Y27" i="1"/>
  <c r="Z27" i="1" s="1"/>
  <c r="AA27" i="1" s="1"/>
  <c r="Y28" i="1"/>
  <c r="Z28" i="1" s="1"/>
  <c r="AA28" i="1" s="1"/>
  <c r="Y29" i="1"/>
  <c r="Z29" i="1" s="1"/>
  <c r="AA29" i="1" s="1"/>
  <c r="Y30" i="1"/>
  <c r="Z30" i="1" s="1"/>
  <c r="AA30" i="1" s="1"/>
  <c r="Y31" i="1"/>
  <c r="Y32" i="1"/>
  <c r="Z32" i="1" s="1"/>
  <c r="AA32" i="1" s="1"/>
  <c r="Y33" i="1"/>
  <c r="Z33" i="1" s="1"/>
  <c r="Y34" i="1"/>
  <c r="Z34" i="1" s="1"/>
  <c r="AA34" i="1" s="1"/>
  <c r="Y35" i="1"/>
  <c r="Z35" i="1" s="1"/>
  <c r="AA35" i="1" s="1"/>
  <c r="Y36" i="1"/>
  <c r="Z36" i="1" s="1"/>
  <c r="AA36" i="1" s="1"/>
  <c r="Y37" i="1"/>
  <c r="Z37" i="1" s="1"/>
  <c r="AA37" i="1" s="1"/>
  <c r="Y38" i="1"/>
  <c r="Z38" i="1" s="1"/>
  <c r="AA38" i="1" s="1"/>
  <c r="Y39" i="1"/>
  <c r="Z39" i="1" s="1"/>
  <c r="AA39" i="1" s="1"/>
  <c r="Y40" i="1"/>
  <c r="Y41" i="1"/>
  <c r="Z41" i="1" s="1"/>
  <c r="AA41" i="1" s="1"/>
  <c r="Y42" i="1"/>
  <c r="Z42" i="1" s="1"/>
  <c r="AA42" i="1" s="1"/>
  <c r="Y43" i="1"/>
  <c r="Z43" i="1" s="1"/>
  <c r="AA43" i="1" s="1"/>
  <c r="Y44" i="1"/>
  <c r="Z44" i="1" s="1"/>
  <c r="AA44" i="1" s="1"/>
  <c r="Y45" i="1"/>
  <c r="Z45" i="1" s="1"/>
  <c r="AA45" i="1" s="1"/>
  <c r="Y46" i="1"/>
  <c r="Z46" i="1" s="1"/>
  <c r="AA46" i="1" s="1"/>
  <c r="Y47" i="1"/>
  <c r="Z47" i="1" s="1"/>
  <c r="AA47" i="1" s="1"/>
  <c r="Y48" i="1"/>
  <c r="Z48" i="1" s="1"/>
  <c r="AA48" i="1" s="1"/>
  <c r="Y49" i="1"/>
  <c r="Z49" i="1" s="1"/>
  <c r="AA49" i="1" s="1"/>
  <c r="Y50" i="1"/>
  <c r="Z50" i="1" s="1"/>
  <c r="AA50" i="1" s="1"/>
  <c r="Y51" i="1"/>
  <c r="Z51" i="1" s="1"/>
  <c r="AA51" i="1" s="1"/>
  <c r="Y52" i="1"/>
  <c r="Z52" i="1" s="1"/>
  <c r="AA52" i="1" s="1"/>
  <c r="Y53" i="1"/>
  <c r="Z53" i="1" s="1"/>
  <c r="AA53" i="1" s="1"/>
  <c r="Y54" i="1"/>
  <c r="Z54" i="1" s="1"/>
  <c r="AA54" i="1" s="1"/>
  <c r="Y55" i="1"/>
  <c r="Z55" i="1" s="1"/>
  <c r="AA55" i="1" s="1"/>
  <c r="Y56" i="1"/>
  <c r="Z56" i="1" s="1"/>
  <c r="AA56" i="1" s="1"/>
  <c r="Y57" i="1"/>
  <c r="Z57" i="1" s="1"/>
  <c r="AA57" i="1" s="1"/>
  <c r="Y58" i="1"/>
  <c r="Z58" i="1" s="1"/>
  <c r="AA58" i="1" s="1"/>
  <c r="Y59" i="1"/>
  <c r="Z59" i="1" s="1"/>
  <c r="AA59" i="1" s="1"/>
  <c r="Y60" i="1"/>
  <c r="Z60" i="1" s="1"/>
  <c r="AA60" i="1" s="1"/>
  <c r="Y61" i="1"/>
  <c r="Z61" i="1" s="1"/>
  <c r="AA61" i="1" s="1"/>
  <c r="Y62" i="1"/>
  <c r="Z62" i="1" s="1"/>
  <c r="AA62" i="1" s="1"/>
  <c r="Y63" i="1"/>
  <c r="Z63" i="1" s="1"/>
  <c r="AA63" i="1" s="1"/>
  <c r="Y64" i="1"/>
  <c r="Y65" i="1"/>
  <c r="Z65" i="1" s="1"/>
  <c r="AA65" i="1" s="1"/>
  <c r="Y66" i="1"/>
  <c r="Z66" i="1" s="1"/>
  <c r="AA66" i="1" s="1"/>
  <c r="Y67" i="1"/>
  <c r="Z67" i="1" s="1"/>
  <c r="AA67" i="1" s="1"/>
  <c r="Y68" i="1"/>
  <c r="Z68" i="1" s="1"/>
  <c r="AA68" i="1" s="1"/>
  <c r="Y69" i="1"/>
  <c r="Z69" i="1" s="1"/>
  <c r="AA69" i="1" s="1"/>
  <c r="Y70" i="1"/>
  <c r="Z70" i="1" s="1"/>
  <c r="AA70" i="1" s="1"/>
  <c r="Y71" i="1"/>
  <c r="Z71" i="1" s="1"/>
  <c r="AA71" i="1" s="1"/>
  <c r="Y72" i="1"/>
  <c r="Y73" i="1"/>
  <c r="Z73" i="1" s="1"/>
  <c r="AA73" i="1" s="1"/>
  <c r="Y74" i="1"/>
  <c r="Z74" i="1" s="1"/>
  <c r="AA74" i="1" s="1"/>
  <c r="Y75" i="1"/>
  <c r="Z75" i="1" s="1"/>
  <c r="AA75" i="1" s="1"/>
  <c r="Y76" i="1"/>
  <c r="Z76" i="1" s="1"/>
  <c r="AA76" i="1" s="1"/>
  <c r="Y77" i="1"/>
  <c r="Z77" i="1" s="1"/>
  <c r="AA77" i="1" s="1"/>
  <c r="Y78" i="1"/>
  <c r="Z78" i="1" s="1"/>
  <c r="AA78" i="1" s="1"/>
  <c r="Y79" i="1"/>
  <c r="Z79" i="1" s="1"/>
  <c r="AA79" i="1" s="1"/>
  <c r="Y80" i="1"/>
  <c r="Y81" i="1"/>
  <c r="Z81" i="1" s="1"/>
  <c r="AA81" i="1" s="1"/>
  <c r="Y82" i="1"/>
  <c r="Z82" i="1" s="1"/>
  <c r="AA82" i="1" s="1"/>
  <c r="Y83" i="1"/>
  <c r="Z83" i="1" s="1"/>
  <c r="AA83" i="1" s="1"/>
  <c r="Y84" i="1"/>
  <c r="Z84" i="1" s="1"/>
  <c r="AA84" i="1" s="1"/>
  <c r="Y85" i="1"/>
  <c r="Z85" i="1" s="1"/>
  <c r="AA85" i="1" s="1"/>
  <c r="Y86" i="1"/>
  <c r="Z86" i="1" s="1"/>
  <c r="AA86" i="1" s="1"/>
  <c r="Y87" i="1"/>
  <c r="Z87" i="1" s="1"/>
  <c r="AA87" i="1" s="1"/>
  <c r="Y88" i="1"/>
  <c r="Y89" i="1"/>
  <c r="Z89" i="1" s="1"/>
  <c r="AA89" i="1" s="1"/>
  <c r="Y90" i="1"/>
  <c r="Z90" i="1" s="1"/>
  <c r="AA90" i="1" s="1"/>
  <c r="Y91" i="1"/>
  <c r="Z91" i="1" s="1"/>
  <c r="AA91" i="1" s="1"/>
  <c r="Y92" i="1"/>
  <c r="Z92" i="1" s="1"/>
  <c r="AA92" i="1" s="1"/>
  <c r="Y93" i="1"/>
  <c r="Z93" i="1" s="1"/>
  <c r="AA93" i="1" s="1"/>
  <c r="Y94" i="1"/>
  <c r="Z94" i="1" s="1"/>
  <c r="AA94" i="1" s="1"/>
  <c r="Y95" i="1"/>
  <c r="Z95" i="1" s="1"/>
  <c r="AA95" i="1" s="1"/>
  <c r="Y96" i="1"/>
  <c r="Y97" i="1"/>
  <c r="Z97" i="1" s="1"/>
  <c r="AA97" i="1" s="1"/>
  <c r="Y98" i="1"/>
  <c r="Z98" i="1" s="1"/>
  <c r="AA98" i="1" s="1"/>
  <c r="Y99" i="1"/>
  <c r="Z99" i="1" s="1"/>
  <c r="AA99" i="1" s="1"/>
  <c r="Y100" i="1"/>
  <c r="Z100" i="1" s="1"/>
  <c r="AA100" i="1" s="1"/>
  <c r="Y101" i="1"/>
  <c r="Z101" i="1" s="1"/>
  <c r="AA101" i="1" s="1"/>
  <c r="Y102" i="1"/>
  <c r="Z102" i="1" s="1"/>
  <c r="AA102" i="1" s="1"/>
  <c r="Y103" i="1"/>
  <c r="Z103" i="1" s="1"/>
  <c r="AA103" i="1" s="1"/>
  <c r="Y104" i="1"/>
  <c r="Y105" i="1"/>
  <c r="Z105" i="1" s="1"/>
  <c r="AA105" i="1" s="1"/>
  <c r="Y106" i="1"/>
  <c r="Z106" i="1" s="1"/>
  <c r="AA106" i="1" s="1"/>
  <c r="Y107" i="1"/>
  <c r="Z107" i="1" s="1"/>
  <c r="AA107" i="1" s="1"/>
  <c r="Y108" i="1"/>
  <c r="Z108" i="1" s="1"/>
  <c r="AA108" i="1" s="1"/>
  <c r="Y109" i="1"/>
  <c r="Z109" i="1" s="1"/>
  <c r="AA109" i="1" s="1"/>
  <c r="Y110" i="1"/>
  <c r="Z110" i="1" s="1"/>
  <c r="AA110" i="1" s="1"/>
  <c r="Y111" i="1"/>
  <c r="Z111" i="1" s="1"/>
  <c r="AA111" i="1" s="1"/>
  <c r="Y112" i="1"/>
  <c r="Z112" i="1" s="1"/>
  <c r="AA112" i="1" s="1"/>
  <c r="Y113" i="1"/>
  <c r="Z113" i="1" s="1"/>
  <c r="AA113" i="1" s="1"/>
  <c r="Y114" i="1"/>
  <c r="Z114" i="1" s="1"/>
  <c r="AA114" i="1" s="1"/>
  <c r="Y115" i="1"/>
  <c r="Z115" i="1" s="1"/>
  <c r="AA115" i="1" s="1"/>
  <c r="Y116" i="1"/>
  <c r="Z116" i="1" s="1"/>
  <c r="AA116" i="1" s="1"/>
  <c r="Y117" i="1"/>
  <c r="Z117" i="1" s="1"/>
  <c r="AA117" i="1" s="1"/>
  <c r="Y118" i="1"/>
  <c r="Z118" i="1" s="1"/>
  <c r="AA118" i="1" s="1"/>
  <c r="Y119" i="1"/>
  <c r="Z119" i="1" s="1"/>
  <c r="AA119" i="1" s="1"/>
  <c r="Y120" i="1"/>
  <c r="Z120" i="1" s="1"/>
  <c r="AA120" i="1" s="1"/>
  <c r="Y121" i="1"/>
  <c r="Z121" i="1" s="1"/>
  <c r="AA121" i="1" s="1"/>
  <c r="Y122" i="1"/>
  <c r="Z122" i="1" s="1"/>
  <c r="AA122" i="1" s="1"/>
  <c r="Y123" i="1"/>
  <c r="Z123" i="1" s="1"/>
  <c r="AA123" i="1" s="1"/>
  <c r="Y124" i="1"/>
  <c r="Z124" i="1" s="1"/>
  <c r="AA124" i="1" s="1"/>
  <c r="Y125" i="1"/>
  <c r="Z125" i="1" s="1"/>
  <c r="AA125" i="1" s="1"/>
  <c r="Y126" i="1"/>
  <c r="Z126" i="1" s="1"/>
  <c r="AA126" i="1" s="1"/>
  <c r="Y127" i="1"/>
  <c r="Z127" i="1" s="1"/>
  <c r="AA127" i="1" s="1"/>
  <c r="Y128" i="1"/>
  <c r="Y129" i="1"/>
  <c r="Z129" i="1" s="1"/>
  <c r="AA129" i="1" s="1"/>
  <c r="Y130" i="1"/>
  <c r="Z130" i="1" s="1"/>
  <c r="AA130" i="1" s="1"/>
  <c r="Y131" i="1"/>
  <c r="Z131" i="1" s="1"/>
  <c r="AA131" i="1" s="1"/>
  <c r="Y132" i="1"/>
  <c r="Z132" i="1" s="1"/>
  <c r="AA132" i="1" s="1"/>
  <c r="Y133" i="1"/>
  <c r="Z133" i="1" s="1"/>
  <c r="AA133" i="1" s="1"/>
  <c r="Y134" i="1"/>
  <c r="Z134" i="1" s="1"/>
  <c r="AA134" i="1" s="1"/>
  <c r="Y135" i="1"/>
  <c r="Z135" i="1" s="1"/>
  <c r="AA135" i="1" s="1"/>
  <c r="Y136" i="1"/>
  <c r="Y137" i="1"/>
  <c r="Z137" i="1" s="1"/>
  <c r="AA137" i="1" s="1"/>
  <c r="Y138" i="1"/>
  <c r="Z138" i="1" s="1"/>
  <c r="AA138" i="1" s="1"/>
  <c r="Y139" i="1"/>
  <c r="Z139" i="1" s="1"/>
  <c r="AA139" i="1" s="1"/>
  <c r="Y140" i="1"/>
  <c r="Z140" i="1" s="1"/>
  <c r="AA140" i="1" s="1"/>
  <c r="Y141" i="1"/>
  <c r="Z141" i="1" s="1"/>
  <c r="AA141" i="1" s="1"/>
  <c r="Y142" i="1"/>
  <c r="Z142" i="1" s="1"/>
  <c r="AA142" i="1" s="1"/>
  <c r="Y143" i="1"/>
  <c r="Z143" i="1" s="1"/>
  <c r="AA143" i="1" s="1"/>
  <c r="Y144" i="1"/>
  <c r="Y145" i="1"/>
  <c r="Z145" i="1" s="1"/>
  <c r="AA145" i="1" s="1"/>
  <c r="Y146" i="1"/>
  <c r="Z146" i="1" s="1"/>
  <c r="AA146" i="1" s="1"/>
  <c r="Y147" i="1"/>
  <c r="Z147" i="1" s="1"/>
  <c r="AA147" i="1" s="1"/>
  <c r="Y148" i="1"/>
  <c r="Z148" i="1" s="1"/>
  <c r="AA148" i="1" s="1"/>
  <c r="Y149" i="1"/>
  <c r="Z149" i="1" s="1"/>
  <c r="AA149" i="1" s="1"/>
  <c r="Y150" i="1"/>
  <c r="Z150" i="1" s="1"/>
  <c r="AA150" i="1" s="1"/>
  <c r="Y151" i="1"/>
  <c r="Z151" i="1" s="1"/>
  <c r="AA151" i="1" s="1"/>
  <c r="Y152" i="1"/>
  <c r="Y153" i="1"/>
  <c r="Z153" i="1" s="1"/>
  <c r="AA153" i="1" s="1"/>
  <c r="Y154" i="1"/>
  <c r="Z154" i="1" s="1"/>
  <c r="AA154" i="1" s="1"/>
  <c r="Y155" i="1"/>
  <c r="Z155" i="1" s="1"/>
  <c r="AA155" i="1" s="1"/>
  <c r="Y156" i="1"/>
  <c r="Z156" i="1" s="1"/>
  <c r="AA156" i="1" s="1"/>
  <c r="Y157" i="1"/>
  <c r="Z157" i="1" s="1"/>
  <c r="AA157" i="1" s="1"/>
  <c r="Y158" i="1"/>
  <c r="Z158" i="1" s="1"/>
  <c r="AA158" i="1" s="1"/>
  <c r="Y159" i="1"/>
  <c r="Z159" i="1" s="1"/>
  <c r="AA159" i="1" s="1"/>
  <c r="Y160" i="1"/>
  <c r="Y161" i="1"/>
  <c r="Z161" i="1" s="1"/>
  <c r="AA161" i="1" s="1"/>
  <c r="Y162" i="1"/>
  <c r="Z162" i="1" s="1"/>
  <c r="AA162" i="1" s="1"/>
  <c r="Y163" i="1"/>
  <c r="Z163" i="1" s="1"/>
  <c r="AA163" i="1" s="1"/>
  <c r="Y164" i="1"/>
  <c r="Z164" i="1" s="1"/>
  <c r="AA164" i="1" s="1"/>
  <c r="Y165" i="1"/>
  <c r="Z165" i="1" s="1"/>
  <c r="AA165" i="1" s="1"/>
  <c r="Y166" i="1"/>
  <c r="Z166" i="1" s="1"/>
  <c r="AA166" i="1" s="1"/>
  <c r="Y167" i="1"/>
  <c r="Y168" i="1"/>
  <c r="Z168" i="1" s="1"/>
  <c r="AA168" i="1" s="1"/>
  <c r="Y169" i="1"/>
  <c r="Z169" i="1" s="1"/>
  <c r="AA169" i="1" s="1"/>
  <c r="Y170" i="1"/>
  <c r="Z170" i="1" s="1"/>
  <c r="AA170" i="1" s="1"/>
  <c r="Y171" i="1"/>
  <c r="Z171" i="1" s="1"/>
  <c r="AA171" i="1" s="1"/>
  <c r="Y172" i="1"/>
  <c r="Z172" i="1" s="1"/>
  <c r="AA172" i="1" s="1"/>
  <c r="Y173" i="1"/>
  <c r="Z173" i="1" s="1"/>
  <c r="AA173" i="1" s="1"/>
  <c r="Y174" i="1"/>
  <c r="Z174" i="1" s="1"/>
  <c r="AA174" i="1" s="1"/>
  <c r="Y175" i="1"/>
  <c r="Y176" i="1"/>
  <c r="Y177" i="1"/>
  <c r="Z177" i="1" s="1"/>
  <c r="AA177" i="1" s="1"/>
  <c r="Y178" i="1"/>
  <c r="Z178" i="1" s="1"/>
  <c r="AA178" i="1" s="1"/>
  <c r="Y179" i="1"/>
  <c r="Z179" i="1" s="1"/>
  <c r="AA179" i="1" s="1"/>
  <c r="Y180" i="1"/>
  <c r="Z180" i="1" s="1"/>
  <c r="AA180" i="1" s="1"/>
  <c r="Y181" i="1"/>
  <c r="Z181" i="1" s="1"/>
  <c r="AA181" i="1" s="1"/>
  <c r="Y182" i="1"/>
  <c r="Z182" i="1" s="1"/>
  <c r="AA182" i="1" s="1"/>
  <c r="Y183" i="1"/>
  <c r="Y184" i="1"/>
  <c r="Y185" i="1"/>
  <c r="Z185" i="1" s="1"/>
  <c r="AA185" i="1" s="1"/>
  <c r="Y186" i="1"/>
  <c r="Z186" i="1" s="1"/>
  <c r="AA186" i="1" s="1"/>
  <c r="Y187" i="1"/>
  <c r="Z187" i="1" s="1"/>
  <c r="AA187" i="1" s="1"/>
  <c r="Y188" i="1"/>
  <c r="Z188" i="1" s="1"/>
  <c r="AA188" i="1" s="1"/>
  <c r="Y189" i="1"/>
  <c r="Z189" i="1" s="1"/>
  <c r="AA189" i="1" s="1"/>
  <c r="Y190" i="1"/>
  <c r="Z190" i="1" s="1"/>
  <c r="AA190" i="1" s="1"/>
  <c r="Y191" i="1"/>
  <c r="Z191" i="1" s="1"/>
  <c r="AA191" i="1" s="1"/>
  <c r="Y192" i="1"/>
  <c r="Z192" i="1" s="1"/>
  <c r="AA192" i="1" s="1"/>
  <c r="Y193" i="1"/>
  <c r="Z193" i="1" s="1"/>
  <c r="AA193" i="1" s="1"/>
  <c r="Y194" i="1"/>
  <c r="Z194" i="1" s="1"/>
  <c r="AA194" i="1" s="1"/>
  <c r="Y195" i="1"/>
  <c r="Z195" i="1" s="1"/>
  <c r="AA195" i="1" s="1"/>
  <c r="Y196" i="1"/>
  <c r="Z196" i="1" s="1"/>
  <c r="AA196" i="1" s="1"/>
  <c r="Y197" i="1"/>
  <c r="Z197" i="1" s="1"/>
  <c r="AA197" i="1" s="1"/>
  <c r="Y198" i="1"/>
  <c r="Z198" i="1" s="1"/>
  <c r="AA198" i="1" s="1"/>
  <c r="Y199" i="1"/>
  <c r="Y200" i="1"/>
  <c r="Y201" i="1"/>
  <c r="Z201" i="1" s="1"/>
  <c r="AA201" i="1" s="1"/>
  <c r="Y202" i="1"/>
  <c r="Z202" i="1" s="1"/>
  <c r="AA202" i="1" s="1"/>
  <c r="Y203" i="1"/>
  <c r="Z203" i="1" s="1"/>
  <c r="AA203" i="1" s="1"/>
  <c r="Y204" i="1"/>
  <c r="Z204" i="1" s="1"/>
  <c r="AA204" i="1" s="1"/>
  <c r="Y205" i="1"/>
  <c r="Z205" i="1" s="1"/>
  <c r="AA205" i="1" s="1"/>
  <c r="Y206" i="1"/>
  <c r="Z206" i="1" s="1"/>
  <c r="AA206" i="1" s="1"/>
  <c r="Y207" i="1"/>
  <c r="Z207" i="1" s="1"/>
  <c r="AA207" i="1" s="1"/>
  <c r="Y208" i="1"/>
  <c r="Y209" i="1"/>
  <c r="Z209" i="1" s="1"/>
  <c r="AA209" i="1" s="1"/>
  <c r="Y210" i="1"/>
  <c r="Z210" i="1" s="1"/>
  <c r="AA210" i="1" s="1"/>
  <c r="Y211" i="1"/>
  <c r="Z211" i="1" s="1"/>
  <c r="AA211" i="1" s="1"/>
  <c r="Y212" i="1"/>
  <c r="Z212" i="1" s="1"/>
  <c r="AA212" i="1" s="1"/>
  <c r="Y213" i="1"/>
  <c r="Z213" i="1" s="1"/>
  <c r="AA213" i="1" s="1"/>
  <c r="Y214" i="1"/>
  <c r="Z214" i="1" s="1"/>
  <c r="AA214" i="1" s="1"/>
  <c r="Y215" i="1"/>
  <c r="Z215" i="1" s="1"/>
  <c r="AA215" i="1" s="1"/>
  <c r="Y216" i="1"/>
  <c r="Y217" i="1"/>
  <c r="Z217" i="1" s="1"/>
  <c r="AA217" i="1" s="1"/>
  <c r="Y218" i="1"/>
  <c r="Z218" i="1" s="1"/>
  <c r="AA218" i="1" s="1"/>
  <c r="Y219" i="1"/>
  <c r="Z219" i="1" s="1"/>
  <c r="AA219" i="1" s="1"/>
  <c r="Y220" i="1"/>
  <c r="Z220" i="1" s="1"/>
  <c r="AA220" i="1" s="1"/>
  <c r="Y221" i="1"/>
  <c r="Z221" i="1" s="1"/>
  <c r="AA221" i="1" s="1"/>
  <c r="Y222" i="1"/>
  <c r="Z222" i="1" s="1"/>
  <c r="AA222" i="1" s="1"/>
  <c r="Y223" i="1"/>
  <c r="Z223" i="1" s="1"/>
  <c r="AA223" i="1" s="1"/>
  <c r="Y224" i="1"/>
  <c r="Y225" i="1"/>
  <c r="Z225" i="1" s="1"/>
  <c r="AA225" i="1" s="1"/>
  <c r="Y226" i="1"/>
  <c r="Z226" i="1" s="1"/>
  <c r="AA226" i="1" s="1"/>
  <c r="Y227" i="1"/>
  <c r="Z227" i="1" s="1"/>
  <c r="AA227" i="1" s="1"/>
  <c r="Y228" i="1"/>
  <c r="Z228" i="1" s="1"/>
  <c r="AA228" i="1" s="1"/>
  <c r="Y229" i="1"/>
  <c r="Z229" i="1" s="1"/>
  <c r="AA229" i="1" s="1"/>
  <c r="Y230" i="1"/>
  <c r="Z230" i="1" s="1"/>
  <c r="AA230" i="1" s="1"/>
  <c r="Y231" i="1"/>
  <c r="Y232" i="1"/>
  <c r="Z232" i="1" s="1"/>
  <c r="AA232" i="1" s="1"/>
  <c r="Y233" i="1"/>
  <c r="Z233" i="1" s="1"/>
  <c r="AA233" i="1" s="1"/>
  <c r="Y234" i="1"/>
  <c r="Z234" i="1" s="1"/>
  <c r="AA234" i="1" s="1"/>
  <c r="Y235" i="1"/>
  <c r="Z235" i="1" s="1"/>
  <c r="AA235" i="1" s="1"/>
  <c r="Y236" i="1"/>
  <c r="Z236" i="1" s="1"/>
  <c r="AA236" i="1" s="1"/>
  <c r="Y237" i="1"/>
  <c r="Z237" i="1" s="1"/>
  <c r="AA237" i="1" s="1"/>
  <c r="Y238" i="1"/>
  <c r="Z238" i="1" s="1"/>
  <c r="AA238" i="1" s="1"/>
  <c r="Y239" i="1"/>
  <c r="Y240" i="1"/>
  <c r="Z240" i="1" s="1"/>
  <c r="AA240" i="1" s="1"/>
  <c r="Y241" i="1"/>
  <c r="Z241" i="1" s="1"/>
  <c r="AA241" i="1" s="1"/>
  <c r="Y242" i="1"/>
  <c r="Z242" i="1" s="1"/>
  <c r="AA242" i="1" s="1"/>
  <c r="Y243" i="1"/>
  <c r="Z243" i="1" s="1"/>
  <c r="AA243" i="1" s="1"/>
  <c r="Y244" i="1"/>
  <c r="Z244" i="1" s="1"/>
  <c r="AA244" i="1" s="1"/>
  <c r="Y245" i="1"/>
  <c r="Z245" i="1" s="1"/>
  <c r="AA245" i="1" s="1"/>
  <c r="Y246" i="1"/>
  <c r="Z246" i="1" s="1"/>
  <c r="AA246" i="1" s="1"/>
  <c r="Y247" i="1"/>
  <c r="Z247" i="1" s="1"/>
  <c r="AA247" i="1" s="1"/>
  <c r="Y248" i="1"/>
  <c r="Y249" i="1"/>
  <c r="Z249" i="1" s="1"/>
  <c r="AA249" i="1" s="1"/>
  <c r="Y250" i="1"/>
  <c r="Z250" i="1" s="1"/>
  <c r="AA250" i="1" s="1"/>
  <c r="Y251" i="1"/>
  <c r="Z251" i="1" s="1"/>
  <c r="AA251" i="1" s="1"/>
  <c r="Y252" i="1"/>
  <c r="Z252" i="1" s="1"/>
  <c r="AA252" i="1" s="1"/>
  <c r="Y253" i="1"/>
  <c r="Z253" i="1" s="1"/>
  <c r="AA253" i="1" s="1"/>
  <c r="Y254" i="1"/>
  <c r="Z254" i="1" s="1"/>
  <c r="AA254" i="1" s="1"/>
  <c r="Y255" i="1"/>
  <c r="Z255" i="1" s="1"/>
  <c r="AA255" i="1" s="1"/>
  <c r="Y256" i="1"/>
  <c r="Z256" i="1" s="1"/>
  <c r="AA256" i="1" s="1"/>
  <c r="Y257" i="1"/>
  <c r="Z257" i="1" s="1"/>
  <c r="AA257" i="1" s="1"/>
  <c r="Y258" i="1"/>
  <c r="Z258" i="1" s="1"/>
  <c r="AA258" i="1" s="1"/>
  <c r="Y259" i="1"/>
  <c r="Y260" i="1"/>
  <c r="Z260" i="1" s="1"/>
  <c r="AA260" i="1" s="1"/>
  <c r="Y261" i="1"/>
  <c r="Y262" i="1"/>
  <c r="Z262" i="1" s="1"/>
  <c r="AA262" i="1" s="1"/>
  <c r="Y263" i="1"/>
  <c r="Y264" i="1"/>
  <c r="Z264" i="1" s="1"/>
  <c r="AA264" i="1" s="1"/>
  <c r="Y265" i="1"/>
  <c r="Z265" i="1" s="1"/>
  <c r="AA265" i="1" s="1"/>
  <c r="Y266" i="1"/>
  <c r="Z266" i="1" s="1"/>
  <c r="AA266" i="1" s="1"/>
  <c r="Y267" i="1"/>
  <c r="Z267" i="1" s="1"/>
  <c r="AA267" i="1" s="1"/>
  <c r="Y268" i="1"/>
  <c r="Z268" i="1" s="1"/>
  <c r="AA268" i="1" s="1"/>
  <c r="Y269" i="1"/>
  <c r="Z269" i="1" s="1"/>
  <c r="AA269" i="1" s="1"/>
  <c r="Y270" i="1"/>
  <c r="Y271" i="1"/>
  <c r="Z271" i="1" s="1"/>
  <c r="AA271" i="1" s="1"/>
  <c r="Y272" i="1"/>
  <c r="Y273" i="1"/>
  <c r="Z273" i="1" s="1"/>
  <c r="AA273" i="1" s="1"/>
  <c r="Y274" i="1"/>
  <c r="Z274" i="1" s="1"/>
  <c r="AA274" i="1" s="1"/>
  <c r="Y275" i="1"/>
  <c r="Z275" i="1" s="1"/>
  <c r="AA275" i="1" s="1"/>
  <c r="Y276" i="1"/>
  <c r="Z276" i="1" s="1"/>
  <c r="AA276" i="1" s="1"/>
  <c r="Y277" i="1"/>
  <c r="Y278" i="1"/>
  <c r="Z278" i="1" s="1"/>
  <c r="AA278" i="1" s="1"/>
  <c r="Y279" i="1"/>
  <c r="Y280" i="1"/>
  <c r="Z280" i="1" s="1"/>
  <c r="AA280" i="1" s="1"/>
  <c r="Y281" i="1"/>
  <c r="Z281" i="1" s="1"/>
  <c r="AA281" i="1" s="1"/>
  <c r="Y282" i="1"/>
  <c r="Z282" i="1" s="1"/>
  <c r="AA282" i="1" s="1"/>
  <c r="Y283" i="1"/>
  <c r="Z283" i="1" s="1"/>
  <c r="AA283" i="1" s="1"/>
  <c r="Y284" i="1"/>
  <c r="Z284" i="1" s="1"/>
  <c r="AA284" i="1" s="1"/>
  <c r="Y285" i="1"/>
  <c r="Y286" i="1"/>
  <c r="Z286" i="1" s="1"/>
  <c r="AA286" i="1" s="1"/>
  <c r="Y287" i="1"/>
  <c r="Y288" i="1"/>
  <c r="Z288" i="1" s="1"/>
  <c r="AA288" i="1" s="1"/>
  <c r="Y289" i="1"/>
  <c r="Z289" i="1" s="1"/>
  <c r="AA289" i="1" s="1"/>
  <c r="Y290" i="1"/>
  <c r="Z290" i="1" s="1"/>
  <c r="AA290" i="1" s="1"/>
  <c r="Y291" i="1"/>
  <c r="Z291" i="1" s="1"/>
  <c r="AA291" i="1" s="1"/>
  <c r="Y292" i="1"/>
  <c r="Z292" i="1" s="1"/>
  <c r="AA292" i="1" s="1"/>
  <c r="Y293" i="1"/>
  <c r="Y294" i="1"/>
  <c r="Z294" i="1" s="1"/>
  <c r="AA294" i="1" s="1"/>
  <c r="Y295" i="1"/>
  <c r="Y296" i="1"/>
  <c r="Z296" i="1" s="1"/>
  <c r="AA296" i="1" s="1"/>
  <c r="Y297" i="1"/>
  <c r="Z297" i="1" s="1"/>
  <c r="AA297" i="1" s="1"/>
  <c r="Y298" i="1"/>
  <c r="Z298" i="1" s="1"/>
  <c r="AA298" i="1" s="1"/>
  <c r="Y299" i="1"/>
  <c r="Z299" i="1" s="1"/>
  <c r="AA299" i="1" s="1"/>
  <c r="Y300" i="1"/>
  <c r="Z300" i="1" s="1"/>
  <c r="AA300" i="1" s="1"/>
  <c r="Y301" i="1"/>
  <c r="Y302" i="1"/>
  <c r="Z302" i="1" s="1"/>
  <c r="AA302" i="1" s="1"/>
  <c r="Y303" i="1"/>
  <c r="Y304" i="1"/>
  <c r="Z304" i="1" s="1"/>
  <c r="AA304" i="1" s="1"/>
  <c r="Y305" i="1"/>
  <c r="Z305" i="1" s="1"/>
  <c r="AA305" i="1" s="1"/>
  <c r="Y306" i="1"/>
  <c r="Z306" i="1" s="1"/>
  <c r="AA306" i="1" s="1"/>
  <c r="Y307" i="1"/>
  <c r="Z307" i="1" s="1"/>
  <c r="AA307" i="1" s="1"/>
  <c r="Y308" i="1"/>
  <c r="Z308" i="1" s="1"/>
  <c r="AA308" i="1" s="1"/>
  <c r="Y309" i="1"/>
  <c r="Y310" i="1"/>
  <c r="Z310" i="1" s="1"/>
  <c r="AA310" i="1" s="1"/>
  <c r="Y311" i="1"/>
  <c r="Y312" i="1"/>
  <c r="Z312" i="1" s="1"/>
  <c r="AA312" i="1" s="1"/>
  <c r="Y313" i="1"/>
  <c r="Z313" i="1" s="1"/>
  <c r="AA313" i="1" s="1"/>
  <c r="Y314" i="1"/>
  <c r="Z314" i="1" s="1"/>
  <c r="AA314" i="1" s="1"/>
  <c r="Y315" i="1"/>
  <c r="Z315" i="1" s="1"/>
  <c r="AA315" i="1" s="1"/>
  <c r="Y316" i="1"/>
  <c r="Z316" i="1" s="1"/>
  <c r="AA316" i="1" s="1"/>
  <c r="Y317" i="1"/>
  <c r="Y318" i="1"/>
  <c r="Z318" i="1" s="1"/>
  <c r="AA318" i="1" s="1"/>
  <c r="Y319" i="1"/>
  <c r="Y320" i="1"/>
  <c r="Z320" i="1" s="1"/>
  <c r="AA320" i="1" s="1"/>
  <c r="Y321" i="1"/>
  <c r="Z321" i="1" s="1"/>
  <c r="AA321" i="1" s="1"/>
  <c r="Y322" i="1"/>
  <c r="Z322" i="1" s="1"/>
  <c r="AA322" i="1" s="1"/>
  <c r="Y323" i="1"/>
  <c r="Z323" i="1" s="1"/>
  <c r="AA323" i="1" s="1"/>
  <c r="Y324" i="1"/>
  <c r="Z324" i="1" s="1"/>
  <c r="AA324" i="1" s="1"/>
  <c r="Y325" i="1"/>
  <c r="Y326" i="1"/>
  <c r="Z326" i="1" s="1"/>
  <c r="AA326" i="1" s="1"/>
  <c r="Y327" i="1"/>
  <c r="Y328" i="1"/>
  <c r="Z328" i="1" s="1"/>
  <c r="AA328" i="1" s="1"/>
  <c r="Y329" i="1"/>
  <c r="Z329" i="1" s="1"/>
  <c r="AA329" i="1" s="1"/>
  <c r="Y330" i="1"/>
  <c r="Z330" i="1" s="1"/>
  <c r="AA330" i="1" s="1"/>
  <c r="Y331" i="1"/>
  <c r="Z331" i="1" s="1"/>
  <c r="AA331" i="1" s="1"/>
  <c r="Y332" i="1"/>
  <c r="Z332" i="1" s="1"/>
  <c r="AA332" i="1" s="1"/>
  <c r="Y333" i="1"/>
  <c r="Y334" i="1"/>
  <c r="Z334" i="1" s="1"/>
  <c r="AA334" i="1" s="1"/>
  <c r="Y335" i="1"/>
  <c r="Y336" i="1"/>
  <c r="Z336" i="1" s="1"/>
  <c r="AA336" i="1" s="1"/>
  <c r="Y337" i="1"/>
  <c r="Z337" i="1" s="1"/>
  <c r="AA337" i="1" s="1"/>
  <c r="Y338" i="1"/>
  <c r="Z338" i="1" s="1"/>
  <c r="AA338" i="1" s="1"/>
  <c r="Y339" i="1"/>
  <c r="Z339" i="1" s="1"/>
  <c r="AA339" i="1" s="1"/>
  <c r="Y340" i="1"/>
  <c r="Z340" i="1" s="1"/>
  <c r="AA340" i="1" s="1"/>
  <c r="Y341" i="1"/>
  <c r="Y342" i="1"/>
  <c r="Z342" i="1" s="1"/>
  <c r="AA342" i="1" s="1"/>
  <c r="Y343" i="1"/>
  <c r="Y344" i="1"/>
  <c r="Z344" i="1" s="1"/>
  <c r="AA344" i="1" s="1"/>
  <c r="Y345" i="1"/>
  <c r="Z345" i="1" s="1"/>
  <c r="AA345" i="1" s="1"/>
  <c r="Y346" i="1"/>
  <c r="Z346" i="1" s="1"/>
  <c r="AA346" i="1" s="1"/>
  <c r="Y347" i="1"/>
  <c r="Z347" i="1" s="1"/>
  <c r="AA347" i="1" s="1"/>
  <c r="Y348" i="1"/>
  <c r="Z348" i="1" s="1"/>
  <c r="AA348" i="1" s="1"/>
  <c r="Y349" i="1"/>
  <c r="Y350" i="1"/>
  <c r="Z350" i="1" s="1"/>
  <c r="AA350" i="1" s="1"/>
  <c r="Y351" i="1"/>
  <c r="Y352" i="1"/>
  <c r="Z352" i="1" s="1"/>
  <c r="AA352" i="1" s="1"/>
  <c r="Y353" i="1"/>
  <c r="Z353" i="1" s="1"/>
  <c r="AA353" i="1" s="1"/>
  <c r="Y354" i="1"/>
  <c r="Z354" i="1" s="1"/>
  <c r="AA354" i="1" s="1"/>
  <c r="Y355" i="1"/>
  <c r="Z355" i="1" s="1"/>
  <c r="AA355" i="1" s="1"/>
  <c r="Y356" i="1"/>
  <c r="Z356" i="1" s="1"/>
  <c r="AA356" i="1" s="1"/>
  <c r="Y357" i="1"/>
  <c r="Y358" i="1"/>
  <c r="Z358" i="1" s="1"/>
  <c r="AA358" i="1" s="1"/>
  <c r="Y359" i="1"/>
  <c r="Y360" i="1"/>
  <c r="Z360" i="1" s="1"/>
  <c r="AA360" i="1" s="1"/>
  <c r="Y361" i="1"/>
  <c r="Z361" i="1" s="1"/>
  <c r="AA361" i="1" s="1"/>
  <c r="Y362" i="1"/>
  <c r="Z362" i="1" s="1"/>
  <c r="AA362" i="1" s="1"/>
  <c r="Y363" i="1"/>
  <c r="Z363" i="1" s="1"/>
  <c r="AA363" i="1" s="1"/>
  <c r="Y364" i="1"/>
  <c r="Z364" i="1" s="1"/>
  <c r="AA364" i="1" s="1"/>
  <c r="Y365" i="1"/>
  <c r="Y366" i="1"/>
  <c r="Z366" i="1" s="1"/>
  <c r="AA366" i="1" s="1"/>
  <c r="Y367" i="1"/>
  <c r="Y368" i="1"/>
  <c r="Z368" i="1" s="1"/>
  <c r="AA368" i="1" s="1"/>
  <c r="Y369" i="1"/>
  <c r="Z369" i="1" s="1"/>
  <c r="AA369" i="1" s="1"/>
  <c r="Y370" i="1"/>
  <c r="Z370" i="1" s="1"/>
  <c r="AA370" i="1" s="1"/>
  <c r="Y371" i="1"/>
  <c r="Z371" i="1" s="1"/>
  <c r="AA371" i="1" s="1"/>
  <c r="Y372" i="1"/>
  <c r="Z372" i="1" s="1"/>
  <c r="AA372" i="1" s="1"/>
  <c r="Y373" i="1"/>
  <c r="Y374" i="1"/>
  <c r="Z374" i="1" s="1"/>
  <c r="AA374" i="1" s="1"/>
  <c r="Y375" i="1"/>
  <c r="Y376" i="1"/>
  <c r="Z376" i="1" s="1"/>
  <c r="AA376" i="1" s="1"/>
  <c r="Y377" i="1"/>
  <c r="Z377" i="1" s="1"/>
  <c r="AA377" i="1" s="1"/>
  <c r="Y378" i="1"/>
  <c r="Z378" i="1" s="1"/>
  <c r="AA378" i="1" s="1"/>
  <c r="Y379" i="1"/>
  <c r="Z379" i="1" s="1"/>
  <c r="AA379" i="1" s="1"/>
  <c r="Y380" i="1"/>
  <c r="Z380" i="1" s="1"/>
  <c r="AA380" i="1" s="1"/>
  <c r="Y381" i="1"/>
  <c r="Y382" i="1"/>
  <c r="Z382" i="1" s="1"/>
  <c r="AA382" i="1" s="1"/>
  <c r="Y383" i="1"/>
  <c r="Y384" i="1"/>
  <c r="Z384" i="1" s="1"/>
  <c r="AA384" i="1" s="1"/>
  <c r="Y385" i="1"/>
  <c r="Z385" i="1" s="1"/>
  <c r="AA385" i="1" s="1"/>
  <c r="Y386" i="1"/>
  <c r="Z386" i="1" s="1"/>
  <c r="AA386" i="1" s="1"/>
  <c r="Y387" i="1"/>
  <c r="Z387" i="1" s="1"/>
  <c r="AA387" i="1" s="1"/>
  <c r="Y388" i="1"/>
  <c r="Z388" i="1" s="1"/>
  <c r="AA388" i="1" s="1"/>
  <c r="Y389" i="1"/>
  <c r="Y390" i="1"/>
  <c r="Z390" i="1" s="1"/>
  <c r="AA390" i="1" s="1"/>
  <c r="Y391" i="1"/>
  <c r="Y392" i="1"/>
  <c r="Z392" i="1" s="1"/>
  <c r="AA392" i="1" s="1"/>
  <c r="Y393" i="1"/>
  <c r="Z393" i="1" s="1"/>
  <c r="AA393" i="1" s="1"/>
  <c r="Y394" i="1"/>
  <c r="Z394" i="1" s="1"/>
  <c r="AA394" i="1" s="1"/>
  <c r="Y395" i="1"/>
  <c r="Z395" i="1" s="1"/>
  <c r="AA395" i="1" s="1"/>
  <c r="Y396" i="1"/>
  <c r="Z396" i="1" s="1"/>
  <c r="AA396" i="1" s="1"/>
  <c r="Y397" i="1"/>
  <c r="Y398" i="1"/>
  <c r="Z398" i="1" s="1"/>
  <c r="AA398" i="1" s="1"/>
  <c r="Y399" i="1"/>
  <c r="Y400" i="1"/>
  <c r="Z400" i="1" s="1"/>
  <c r="AA400" i="1" s="1"/>
  <c r="Y401" i="1"/>
  <c r="Z401" i="1" s="1"/>
  <c r="AA401" i="1" s="1"/>
  <c r="Y402" i="1"/>
  <c r="Z402" i="1" s="1"/>
  <c r="AA402" i="1" s="1"/>
  <c r="Y403" i="1"/>
  <c r="Z403" i="1" s="1"/>
  <c r="AA403" i="1" s="1"/>
  <c r="Y404" i="1"/>
  <c r="Z404" i="1" s="1"/>
  <c r="AA404" i="1" s="1"/>
  <c r="Y405" i="1"/>
  <c r="Y406" i="1"/>
  <c r="Z406" i="1" s="1"/>
  <c r="AA406" i="1" s="1"/>
  <c r="Y407" i="1"/>
  <c r="Y408" i="1"/>
  <c r="Z408" i="1" s="1"/>
  <c r="AA408" i="1" s="1"/>
  <c r="Y409" i="1"/>
  <c r="Z409" i="1" s="1"/>
  <c r="AA409" i="1" s="1"/>
  <c r="Y410" i="1"/>
  <c r="Z410" i="1" s="1"/>
  <c r="AA410" i="1" s="1"/>
  <c r="Y411" i="1"/>
  <c r="Z411" i="1" s="1"/>
  <c r="AA411" i="1" s="1"/>
  <c r="Y412" i="1"/>
  <c r="Z412" i="1" s="1"/>
  <c r="AA412" i="1" s="1"/>
  <c r="Y413" i="1"/>
  <c r="Y414" i="1"/>
  <c r="Z414" i="1" s="1"/>
  <c r="AA414" i="1" s="1"/>
  <c r="Y415" i="1"/>
  <c r="Y416" i="1"/>
  <c r="Z416" i="1" s="1"/>
  <c r="AA416" i="1" s="1"/>
  <c r="Y417" i="1"/>
  <c r="Z417" i="1" s="1"/>
  <c r="AA417" i="1" s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R83" i="1"/>
  <c r="D19" i="1"/>
  <c r="E18" i="1"/>
  <c r="F18" i="1" s="1"/>
  <c r="D23" i="1" s="1"/>
  <c r="D24" i="1" s="1"/>
  <c r="D18" i="1"/>
  <c r="Q40" i="1"/>
  <c r="Q168" i="1"/>
  <c r="P298" i="1"/>
  <c r="O31" i="1"/>
  <c r="P31" i="1" s="1"/>
  <c r="O47" i="1"/>
  <c r="P47" i="1" s="1"/>
  <c r="O111" i="1"/>
  <c r="P111" i="1" s="1"/>
  <c r="O175" i="1"/>
  <c r="P175" i="1" s="1"/>
  <c r="O239" i="1"/>
  <c r="P239" i="1" s="1"/>
  <c r="N16" i="1"/>
  <c r="N32" i="1"/>
  <c r="N48" i="1"/>
  <c r="N94" i="1"/>
  <c r="N104" i="1"/>
  <c r="N131" i="1"/>
  <c r="N142" i="1"/>
  <c r="N168" i="1"/>
  <c r="N187" i="1"/>
  <c r="N214" i="1"/>
  <c r="N215" i="1"/>
  <c r="N224" i="1"/>
  <c r="N250" i="1"/>
  <c r="N251" i="1"/>
  <c r="N278" i="1"/>
  <c r="N287" i="1"/>
  <c r="N294" i="1"/>
  <c r="N312" i="1"/>
  <c r="N323" i="1"/>
  <c r="N330" i="1"/>
  <c r="N336" i="1"/>
  <c r="N342" i="1"/>
  <c r="N343" i="1"/>
  <c r="N360" i="1"/>
  <c r="N367" i="1"/>
  <c r="M9" i="1"/>
  <c r="N9" i="1" s="1"/>
  <c r="O9" i="1" s="1"/>
  <c r="P9" i="1" s="1"/>
  <c r="M14" i="1"/>
  <c r="N14" i="1" s="1"/>
  <c r="M15" i="1"/>
  <c r="N15" i="1" s="1"/>
  <c r="M18" i="1"/>
  <c r="N18" i="1" s="1"/>
  <c r="M21" i="1"/>
  <c r="N21" i="1" s="1"/>
  <c r="M23" i="1"/>
  <c r="N23" i="1" s="1"/>
  <c r="M27" i="1"/>
  <c r="N27" i="1" s="1"/>
  <c r="M33" i="1"/>
  <c r="N33" i="1" s="1"/>
  <c r="M34" i="1"/>
  <c r="N34" i="1" s="1"/>
  <c r="M39" i="1"/>
  <c r="N39" i="1" s="1"/>
  <c r="M42" i="1"/>
  <c r="N42" i="1" s="1"/>
  <c r="M47" i="1"/>
  <c r="N47" i="1" s="1"/>
  <c r="M49" i="1"/>
  <c r="N49" i="1" s="1"/>
  <c r="M50" i="1"/>
  <c r="N50" i="1" s="1"/>
  <c r="M55" i="1"/>
  <c r="N55" i="1" s="1"/>
  <c r="M58" i="1"/>
  <c r="N58" i="1" s="1"/>
  <c r="M63" i="1"/>
  <c r="N63" i="1" s="1"/>
  <c r="O63" i="1" s="1"/>
  <c r="P63" i="1" s="1"/>
  <c r="M65" i="1"/>
  <c r="N65" i="1" s="1"/>
  <c r="M66" i="1"/>
  <c r="N66" i="1" s="1"/>
  <c r="M71" i="1"/>
  <c r="N71" i="1" s="1"/>
  <c r="M74" i="1"/>
  <c r="N74" i="1" s="1"/>
  <c r="M79" i="1"/>
  <c r="N79" i="1" s="1"/>
  <c r="O79" i="1" s="1"/>
  <c r="P79" i="1" s="1"/>
  <c r="M81" i="1"/>
  <c r="N81" i="1" s="1"/>
  <c r="M82" i="1"/>
  <c r="N82" i="1" s="1"/>
  <c r="M87" i="1"/>
  <c r="N87" i="1" s="1"/>
  <c r="M90" i="1"/>
  <c r="N90" i="1" s="1"/>
  <c r="M95" i="1"/>
  <c r="N95" i="1" s="1"/>
  <c r="O95" i="1" s="1"/>
  <c r="P95" i="1" s="1"/>
  <c r="M97" i="1"/>
  <c r="N97" i="1" s="1"/>
  <c r="M98" i="1"/>
  <c r="N98" i="1" s="1"/>
  <c r="M103" i="1"/>
  <c r="N103" i="1" s="1"/>
  <c r="M106" i="1"/>
  <c r="N106" i="1" s="1"/>
  <c r="M111" i="1"/>
  <c r="N111" i="1" s="1"/>
  <c r="M113" i="1"/>
  <c r="N113" i="1" s="1"/>
  <c r="M114" i="1"/>
  <c r="N114" i="1" s="1"/>
  <c r="M119" i="1"/>
  <c r="N119" i="1" s="1"/>
  <c r="M122" i="1"/>
  <c r="N122" i="1" s="1"/>
  <c r="M127" i="1"/>
  <c r="N127" i="1" s="1"/>
  <c r="O127" i="1" s="1"/>
  <c r="P127" i="1" s="1"/>
  <c r="M129" i="1"/>
  <c r="N129" i="1" s="1"/>
  <c r="M130" i="1"/>
  <c r="N130" i="1" s="1"/>
  <c r="M135" i="1"/>
  <c r="N135" i="1" s="1"/>
  <c r="M138" i="1"/>
  <c r="N138" i="1" s="1"/>
  <c r="M143" i="1"/>
  <c r="N143" i="1" s="1"/>
  <c r="O143" i="1" s="1"/>
  <c r="P143" i="1" s="1"/>
  <c r="M145" i="1"/>
  <c r="N145" i="1" s="1"/>
  <c r="M146" i="1"/>
  <c r="N146" i="1" s="1"/>
  <c r="M151" i="1"/>
  <c r="N151" i="1" s="1"/>
  <c r="M154" i="1"/>
  <c r="N154" i="1" s="1"/>
  <c r="M159" i="1"/>
  <c r="N159" i="1" s="1"/>
  <c r="O159" i="1" s="1"/>
  <c r="P159" i="1" s="1"/>
  <c r="M161" i="1"/>
  <c r="N161" i="1" s="1"/>
  <c r="M162" i="1"/>
  <c r="N162" i="1" s="1"/>
  <c r="M167" i="1"/>
  <c r="N167" i="1" s="1"/>
  <c r="M170" i="1"/>
  <c r="N170" i="1" s="1"/>
  <c r="M175" i="1"/>
  <c r="N175" i="1" s="1"/>
  <c r="M177" i="1"/>
  <c r="N177" i="1" s="1"/>
  <c r="M178" i="1"/>
  <c r="N178" i="1" s="1"/>
  <c r="M183" i="1"/>
  <c r="N183" i="1" s="1"/>
  <c r="M186" i="1"/>
  <c r="N186" i="1" s="1"/>
  <c r="M191" i="1"/>
  <c r="N191" i="1" s="1"/>
  <c r="O191" i="1" s="1"/>
  <c r="P191" i="1" s="1"/>
  <c r="M193" i="1"/>
  <c r="N193" i="1" s="1"/>
  <c r="M194" i="1"/>
  <c r="N194" i="1" s="1"/>
  <c r="M199" i="1"/>
  <c r="N199" i="1" s="1"/>
  <c r="M202" i="1"/>
  <c r="N202" i="1" s="1"/>
  <c r="M207" i="1"/>
  <c r="N207" i="1" s="1"/>
  <c r="O207" i="1" s="1"/>
  <c r="P207" i="1" s="1"/>
  <c r="M209" i="1"/>
  <c r="N209" i="1" s="1"/>
  <c r="M210" i="1"/>
  <c r="N210" i="1" s="1"/>
  <c r="M215" i="1"/>
  <c r="M218" i="1"/>
  <c r="N218" i="1" s="1"/>
  <c r="M223" i="1"/>
  <c r="N223" i="1" s="1"/>
  <c r="O223" i="1" s="1"/>
  <c r="P223" i="1" s="1"/>
  <c r="M225" i="1"/>
  <c r="N225" i="1" s="1"/>
  <c r="M226" i="1"/>
  <c r="N226" i="1" s="1"/>
  <c r="M231" i="1"/>
  <c r="N231" i="1" s="1"/>
  <c r="M234" i="1"/>
  <c r="N234" i="1" s="1"/>
  <c r="M239" i="1"/>
  <c r="N239" i="1" s="1"/>
  <c r="M241" i="1"/>
  <c r="N241" i="1" s="1"/>
  <c r="M242" i="1"/>
  <c r="N242" i="1" s="1"/>
  <c r="M247" i="1"/>
  <c r="N247" i="1" s="1"/>
  <c r="M250" i="1"/>
  <c r="M255" i="1"/>
  <c r="N255" i="1" s="1"/>
  <c r="O255" i="1" s="1"/>
  <c r="P255" i="1" s="1"/>
  <c r="M257" i="1"/>
  <c r="N257" i="1" s="1"/>
  <c r="M258" i="1"/>
  <c r="N258" i="1" s="1"/>
  <c r="M263" i="1"/>
  <c r="N263" i="1" s="1"/>
  <c r="M266" i="1"/>
  <c r="N266" i="1" s="1"/>
  <c r="M271" i="1"/>
  <c r="N271" i="1" s="1"/>
  <c r="M273" i="1"/>
  <c r="N273" i="1" s="1"/>
  <c r="M274" i="1"/>
  <c r="N274" i="1" s="1"/>
  <c r="M279" i="1"/>
  <c r="N279" i="1" s="1"/>
  <c r="M282" i="1"/>
  <c r="N282" i="1" s="1"/>
  <c r="M287" i="1"/>
  <c r="M289" i="1"/>
  <c r="N289" i="1" s="1"/>
  <c r="M290" i="1"/>
  <c r="N290" i="1" s="1"/>
  <c r="M295" i="1"/>
  <c r="N295" i="1" s="1"/>
  <c r="M298" i="1"/>
  <c r="N298" i="1" s="1"/>
  <c r="M303" i="1"/>
  <c r="N303" i="1" s="1"/>
  <c r="M305" i="1"/>
  <c r="N305" i="1" s="1"/>
  <c r="M306" i="1"/>
  <c r="N306" i="1" s="1"/>
  <c r="M311" i="1"/>
  <c r="N311" i="1" s="1"/>
  <c r="M314" i="1"/>
  <c r="N314" i="1" s="1"/>
  <c r="M319" i="1"/>
  <c r="N319" i="1" s="1"/>
  <c r="M321" i="1"/>
  <c r="N321" i="1" s="1"/>
  <c r="M322" i="1"/>
  <c r="N322" i="1" s="1"/>
  <c r="M327" i="1"/>
  <c r="N327" i="1" s="1"/>
  <c r="M330" i="1"/>
  <c r="M335" i="1"/>
  <c r="N335" i="1" s="1"/>
  <c r="M337" i="1"/>
  <c r="N337" i="1" s="1"/>
  <c r="M338" i="1"/>
  <c r="N338" i="1" s="1"/>
  <c r="M343" i="1"/>
  <c r="M346" i="1"/>
  <c r="N346" i="1" s="1"/>
  <c r="M351" i="1"/>
  <c r="N351" i="1" s="1"/>
  <c r="M353" i="1"/>
  <c r="N353" i="1" s="1"/>
  <c r="M354" i="1"/>
  <c r="N354" i="1" s="1"/>
  <c r="M359" i="1"/>
  <c r="N359" i="1" s="1"/>
  <c r="M362" i="1"/>
  <c r="N362" i="1" s="1"/>
  <c r="M367" i="1"/>
  <c r="M369" i="1"/>
  <c r="N369" i="1" s="1"/>
  <c r="M370" i="1"/>
  <c r="N370" i="1" s="1"/>
  <c r="L7" i="1"/>
  <c r="M7" i="1" s="1"/>
  <c r="N7" i="1" s="1"/>
  <c r="L8" i="1"/>
  <c r="M8" i="1" s="1"/>
  <c r="N8" i="1" s="1"/>
  <c r="L9" i="1"/>
  <c r="L10" i="1"/>
  <c r="M10" i="1" s="1"/>
  <c r="N10" i="1" s="1"/>
  <c r="L11" i="1"/>
  <c r="M11" i="1" s="1"/>
  <c r="N11" i="1" s="1"/>
  <c r="L12" i="1"/>
  <c r="M12" i="1" s="1"/>
  <c r="N12" i="1" s="1"/>
  <c r="L13" i="1"/>
  <c r="M13" i="1" s="1"/>
  <c r="N13" i="1" s="1"/>
  <c r="L14" i="1"/>
  <c r="L15" i="1"/>
  <c r="L16" i="1"/>
  <c r="M16" i="1" s="1"/>
  <c r="L17" i="1"/>
  <c r="M17" i="1" s="1"/>
  <c r="N17" i="1" s="1"/>
  <c r="L18" i="1"/>
  <c r="L19" i="1"/>
  <c r="M19" i="1" s="1"/>
  <c r="N19" i="1" s="1"/>
  <c r="L20" i="1"/>
  <c r="M20" i="1" s="1"/>
  <c r="N20" i="1" s="1"/>
  <c r="L21" i="1"/>
  <c r="L22" i="1"/>
  <c r="M22" i="1" s="1"/>
  <c r="N22" i="1" s="1"/>
  <c r="L23" i="1"/>
  <c r="L24" i="1"/>
  <c r="M24" i="1" s="1"/>
  <c r="N24" i="1" s="1"/>
  <c r="L25" i="1"/>
  <c r="M25" i="1" s="1"/>
  <c r="N25" i="1" s="1"/>
  <c r="L26" i="1"/>
  <c r="M26" i="1" s="1"/>
  <c r="N26" i="1" s="1"/>
  <c r="L27" i="1"/>
  <c r="L28" i="1"/>
  <c r="M28" i="1" s="1"/>
  <c r="N28" i="1" s="1"/>
  <c r="O28" i="1" s="1"/>
  <c r="P28" i="1" s="1"/>
  <c r="L29" i="1"/>
  <c r="M29" i="1" s="1"/>
  <c r="N29" i="1" s="1"/>
  <c r="L30" i="1"/>
  <c r="M30" i="1" s="1"/>
  <c r="N30" i="1" s="1"/>
  <c r="L31" i="1"/>
  <c r="M31" i="1" s="1"/>
  <c r="N31" i="1" s="1"/>
  <c r="L32" i="1"/>
  <c r="M32" i="1" s="1"/>
  <c r="L33" i="1"/>
  <c r="L34" i="1"/>
  <c r="L35" i="1"/>
  <c r="M35" i="1" s="1"/>
  <c r="N35" i="1" s="1"/>
  <c r="L36" i="1"/>
  <c r="M36" i="1" s="1"/>
  <c r="N36" i="1" s="1"/>
  <c r="L37" i="1"/>
  <c r="M37" i="1" s="1"/>
  <c r="N37" i="1" s="1"/>
  <c r="L38" i="1"/>
  <c r="M38" i="1" s="1"/>
  <c r="N38" i="1" s="1"/>
  <c r="L39" i="1"/>
  <c r="L40" i="1"/>
  <c r="M40" i="1" s="1"/>
  <c r="N40" i="1" s="1"/>
  <c r="L41" i="1"/>
  <c r="M41" i="1" s="1"/>
  <c r="N41" i="1" s="1"/>
  <c r="L42" i="1"/>
  <c r="L43" i="1"/>
  <c r="M43" i="1" s="1"/>
  <c r="N43" i="1" s="1"/>
  <c r="L44" i="1"/>
  <c r="M44" i="1" s="1"/>
  <c r="N44" i="1" s="1"/>
  <c r="L45" i="1"/>
  <c r="M45" i="1" s="1"/>
  <c r="N45" i="1" s="1"/>
  <c r="L46" i="1"/>
  <c r="M46" i="1" s="1"/>
  <c r="N46" i="1" s="1"/>
  <c r="L47" i="1"/>
  <c r="L48" i="1"/>
  <c r="M48" i="1" s="1"/>
  <c r="L49" i="1"/>
  <c r="L50" i="1"/>
  <c r="L51" i="1"/>
  <c r="M51" i="1" s="1"/>
  <c r="N51" i="1" s="1"/>
  <c r="L52" i="1"/>
  <c r="M52" i="1" s="1"/>
  <c r="N52" i="1" s="1"/>
  <c r="L53" i="1"/>
  <c r="M53" i="1" s="1"/>
  <c r="N53" i="1" s="1"/>
  <c r="L54" i="1"/>
  <c r="M54" i="1" s="1"/>
  <c r="N54" i="1" s="1"/>
  <c r="L55" i="1"/>
  <c r="L56" i="1"/>
  <c r="M56" i="1" s="1"/>
  <c r="N56" i="1" s="1"/>
  <c r="L57" i="1"/>
  <c r="M57" i="1" s="1"/>
  <c r="N57" i="1" s="1"/>
  <c r="L58" i="1"/>
  <c r="L59" i="1"/>
  <c r="M59" i="1" s="1"/>
  <c r="N59" i="1" s="1"/>
  <c r="L60" i="1"/>
  <c r="M60" i="1" s="1"/>
  <c r="N60" i="1" s="1"/>
  <c r="L61" i="1"/>
  <c r="M61" i="1" s="1"/>
  <c r="N61" i="1" s="1"/>
  <c r="L62" i="1"/>
  <c r="M62" i="1" s="1"/>
  <c r="N62" i="1" s="1"/>
  <c r="L63" i="1"/>
  <c r="L64" i="1"/>
  <c r="M64" i="1" s="1"/>
  <c r="N64" i="1" s="1"/>
  <c r="L65" i="1"/>
  <c r="L66" i="1"/>
  <c r="L67" i="1"/>
  <c r="M67" i="1" s="1"/>
  <c r="N67" i="1" s="1"/>
  <c r="L68" i="1"/>
  <c r="M68" i="1" s="1"/>
  <c r="N68" i="1" s="1"/>
  <c r="L69" i="1"/>
  <c r="M69" i="1" s="1"/>
  <c r="N69" i="1" s="1"/>
  <c r="L70" i="1"/>
  <c r="M70" i="1" s="1"/>
  <c r="N70" i="1" s="1"/>
  <c r="L71" i="1"/>
  <c r="L72" i="1"/>
  <c r="M72" i="1" s="1"/>
  <c r="N72" i="1" s="1"/>
  <c r="L73" i="1"/>
  <c r="M73" i="1" s="1"/>
  <c r="N73" i="1" s="1"/>
  <c r="L74" i="1"/>
  <c r="L75" i="1"/>
  <c r="M75" i="1" s="1"/>
  <c r="N75" i="1" s="1"/>
  <c r="L76" i="1"/>
  <c r="M76" i="1" s="1"/>
  <c r="N76" i="1" s="1"/>
  <c r="L77" i="1"/>
  <c r="M77" i="1" s="1"/>
  <c r="N77" i="1" s="1"/>
  <c r="L78" i="1"/>
  <c r="M78" i="1" s="1"/>
  <c r="N78" i="1" s="1"/>
  <c r="L79" i="1"/>
  <c r="L80" i="1"/>
  <c r="M80" i="1" s="1"/>
  <c r="N80" i="1" s="1"/>
  <c r="L81" i="1"/>
  <c r="L82" i="1"/>
  <c r="L83" i="1"/>
  <c r="M83" i="1" s="1"/>
  <c r="N83" i="1" s="1"/>
  <c r="L84" i="1"/>
  <c r="M84" i="1" s="1"/>
  <c r="N84" i="1" s="1"/>
  <c r="L85" i="1"/>
  <c r="M85" i="1" s="1"/>
  <c r="N85" i="1" s="1"/>
  <c r="L86" i="1"/>
  <c r="M86" i="1" s="1"/>
  <c r="N86" i="1" s="1"/>
  <c r="L87" i="1"/>
  <c r="L88" i="1"/>
  <c r="M88" i="1" s="1"/>
  <c r="N88" i="1" s="1"/>
  <c r="L89" i="1"/>
  <c r="M89" i="1" s="1"/>
  <c r="N89" i="1" s="1"/>
  <c r="L90" i="1"/>
  <c r="L91" i="1"/>
  <c r="M91" i="1" s="1"/>
  <c r="N91" i="1" s="1"/>
  <c r="L92" i="1"/>
  <c r="M92" i="1" s="1"/>
  <c r="N92" i="1" s="1"/>
  <c r="L93" i="1"/>
  <c r="M93" i="1" s="1"/>
  <c r="N93" i="1" s="1"/>
  <c r="O93" i="1" s="1"/>
  <c r="P93" i="1" s="1"/>
  <c r="L94" i="1"/>
  <c r="M94" i="1" s="1"/>
  <c r="L95" i="1"/>
  <c r="L96" i="1"/>
  <c r="M96" i="1" s="1"/>
  <c r="N96" i="1" s="1"/>
  <c r="L97" i="1"/>
  <c r="L98" i="1"/>
  <c r="L99" i="1"/>
  <c r="M99" i="1" s="1"/>
  <c r="N99" i="1" s="1"/>
  <c r="L100" i="1"/>
  <c r="M100" i="1" s="1"/>
  <c r="N100" i="1" s="1"/>
  <c r="L101" i="1"/>
  <c r="M101" i="1" s="1"/>
  <c r="N101" i="1" s="1"/>
  <c r="L102" i="1"/>
  <c r="M102" i="1" s="1"/>
  <c r="N102" i="1" s="1"/>
  <c r="L103" i="1"/>
  <c r="L104" i="1"/>
  <c r="M104" i="1" s="1"/>
  <c r="L105" i="1"/>
  <c r="M105" i="1" s="1"/>
  <c r="N105" i="1" s="1"/>
  <c r="L106" i="1"/>
  <c r="L107" i="1"/>
  <c r="M107" i="1" s="1"/>
  <c r="N107" i="1" s="1"/>
  <c r="L108" i="1"/>
  <c r="M108" i="1" s="1"/>
  <c r="N108" i="1" s="1"/>
  <c r="L109" i="1"/>
  <c r="M109" i="1" s="1"/>
  <c r="N109" i="1" s="1"/>
  <c r="L110" i="1"/>
  <c r="M110" i="1" s="1"/>
  <c r="N110" i="1" s="1"/>
  <c r="L111" i="1"/>
  <c r="L112" i="1"/>
  <c r="M112" i="1" s="1"/>
  <c r="N112" i="1" s="1"/>
  <c r="L113" i="1"/>
  <c r="L114" i="1"/>
  <c r="L115" i="1"/>
  <c r="M115" i="1" s="1"/>
  <c r="N115" i="1" s="1"/>
  <c r="L116" i="1"/>
  <c r="M116" i="1" s="1"/>
  <c r="N116" i="1" s="1"/>
  <c r="L117" i="1"/>
  <c r="M117" i="1" s="1"/>
  <c r="N117" i="1" s="1"/>
  <c r="L118" i="1"/>
  <c r="M118" i="1" s="1"/>
  <c r="N118" i="1" s="1"/>
  <c r="L119" i="1"/>
  <c r="L120" i="1"/>
  <c r="M120" i="1" s="1"/>
  <c r="N120" i="1" s="1"/>
  <c r="L121" i="1"/>
  <c r="M121" i="1" s="1"/>
  <c r="N121" i="1" s="1"/>
  <c r="L122" i="1"/>
  <c r="L123" i="1"/>
  <c r="M123" i="1" s="1"/>
  <c r="N123" i="1" s="1"/>
  <c r="L124" i="1"/>
  <c r="M124" i="1" s="1"/>
  <c r="N124" i="1" s="1"/>
  <c r="L125" i="1"/>
  <c r="M125" i="1" s="1"/>
  <c r="N125" i="1" s="1"/>
  <c r="L126" i="1"/>
  <c r="M126" i="1" s="1"/>
  <c r="N126" i="1" s="1"/>
  <c r="L127" i="1"/>
  <c r="L128" i="1"/>
  <c r="M128" i="1" s="1"/>
  <c r="N128" i="1" s="1"/>
  <c r="L129" i="1"/>
  <c r="L130" i="1"/>
  <c r="L131" i="1"/>
  <c r="M131" i="1" s="1"/>
  <c r="L132" i="1"/>
  <c r="M132" i="1" s="1"/>
  <c r="N132" i="1" s="1"/>
  <c r="L133" i="1"/>
  <c r="M133" i="1" s="1"/>
  <c r="N133" i="1" s="1"/>
  <c r="L134" i="1"/>
  <c r="M134" i="1" s="1"/>
  <c r="N134" i="1" s="1"/>
  <c r="L135" i="1"/>
  <c r="L136" i="1"/>
  <c r="M136" i="1" s="1"/>
  <c r="N136" i="1" s="1"/>
  <c r="L137" i="1"/>
  <c r="M137" i="1" s="1"/>
  <c r="N137" i="1" s="1"/>
  <c r="L138" i="1"/>
  <c r="L139" i="1"/>
  <c r="M139" i="1" s="1"/>
  <c r="N139" i="1" s="1"/>
  <c r="L140" i="1"/>
  <c r="M140" i="1" s="1"/>
  <c r="N140" i="1" s="1"/>
  <c r="L141" i="1"/>
  <c r="M141" i="1" s="1"/>
  <c r="N141" i="1" s="1"/>
  <c r="L142" i="1"/>
  <c r="M142" i="1" s="1"/>
  <c r="L143" i="1"/>
  <c r="L144" i="1"/>
  <c r="M144" i="1" s="1"/>
  <c r="N144" i="1" s="1"/>
  <c r="L145" i="1"/>
  <c r="L146" i="1"/>
  <c r="L147" i="1"/>
  <c r="M147" i="1" s="1"/>
  <c r="N147" i="1" s="1"/>
  <c r="L148" i="1"/>
  <c r="M148" i="1" s="1"/>
  <c r="N148" i="1" s="1"/>
  <c r="L149" i="1"/>
  <c r="M149" i="1" s="1"/>
  <c r="N149" i="1" s="1"/>
  <c r="L150" i="1"/>
  <c r="M150" i="1" s="1"/>
  <c r="N150" i="1" s="1"/>
  <c r="L151" i="1"/>
  <c r="L152" i="1"/>
  <c r="M152" i="1" s="1"/>
  <c r="N152" i="1" s="1"/>
  <c r="L153" i="1"/>
  <c r="M153" i="1" s="1"/>
  <c r="N153" i="1" s="1"/>
  <c r="L154" i="1"/>
  <c r="L155" i="1"/>
  <c r="M155" i="1" s="1"/>
  <c r="N155" i="1" s="1"/>
  <c r="L156" i="1"/>
  <c r="M156" i="1" s="1"/>
  <c r="N156" i="1" s="1"/>
  <c r="L157" i="1"/>
  <c r="M157" i="1" s="1"/>
  <c r="N157" i="1" s="1"/>
  <c r="O157" i="1" s="1"/>
  <c r="P157" i="1" s="1"/>
  <c r="L158" i="1"/>
  <c r="M158" i="1" s="1"/>
  <c r="N158" i="1" s="1"/>
  <c r="L159" i="1"/>
  <c r="L160" i="1"/>
  <c r="M160" i="1" s="1"/>
  <c r="N160" i="1" s="1"/>
  <c r="L161" i="1"/>
  <c r="L162" i="1"/>
  <c r="L163" i="1"/>
  <c r="M163" i="1" s="1"/>
  <c r="N163" i="1" s="1"/>
  <c r="L164" i="1"/>
  <c r="M164" i="1" s="1"/>
  <c r="N164" i="1" s="1"/>
  <c r="L165" i="1"/>
  <c r="M165" i="1" s="1"/>
  <c r="N165" i="1" s="1"/>
  <c r="L166" i="1"/>
  <c r="M166" i="1" s="1"/>
  <c r="N166" i="1" s="1"/>
  <c r="L167" i="1"/>
  <c r="L168" i="1"/>
  <c r="M168" i="1" s="1"/>
  <c r="L169" i="1"/>
  <c r="M169" i="1" s="1"/>
  <c r="N169" i="1" s="1"/>
  <c r="L170" i="1"/>
  <c r="L171" i="1"/>
  <c r="M171" i="1" s="1"/>
  <c r="N171" i="1" s="1"/>
  <c r="L172" i="1"/>
  <c r="M172" i="1" s="1"/>
  <c r="N172" i="1" s="1"/>
  <c r="L173" i="1"/>
  <c r="M173" i="1" s="1"/>
  <c r="N173" i="1" s="1"/>
  <c r="L174" i="1"/>
  <c r="M174" i="1" s="1"/>
  <c r="N174" i="1" s="1"/>
  <c r="L175" i="1"/>
  <c r="L176" i="1"/>
  <c r="M176" i="1" s="1"/>
  <c r="N176" i="1" s="1"/>
  <c r="L177" i="1"/>
  <c r="L178" i="1"/>
  <c r="L179" i="1"/>
  <c r="M179" i="1" s="1"/>
  <c r="N179" i="1" s="1"/>
  <c r="L180" i="1"/>
  <c r="M180" i="1" s="1"/>
  <c r="N180" i="1" s="1"/>
  <c r="L181" i="1"/>
  <c r="M181" i="1" s="1"/>
  <c r="N181" i="1" s="1"/>
  <c r="L182" i="1"/>
  <c r="M182" i="1" s="1"/>
  <c r="N182" i="1" s="1"/>
  <c r="L183" i="1"/>
  <c r="L184" i="1"/>
  <c r="M184" i="1" s="1"/>
  <c r="N184" i="1" s="1"/>
  <c r="L185" i="1"/>
  <c r="M185" i="1" s="1"/>
  <c r="N185" i="1" s="1"/>
  <c r="L186" i="1"/>
  <c r="L187" i="1"/>
  <c r="M187" i="1" s="1"/>
  <c r="L188" i="1"/>
  <c r="M188" i="1" s="1"/>
  <c r="N188" i="1" s="1"/>
  <c r="L189" i="1"/>
  <c r="M189" i="1" s="1"/>
  <c r="N189" i="1" s="1"/>
  <c r="L190" i="1"/>
  <c r="M190" i="1" s="1"/>
  <c r="N190" i="1" s="1"/>
  <c r="L191" i="1"/>
  <c r="L192" i="1"/>
  <c r="M192" i="1" s="1"/>
  <c r="N192" i="1" s="1"/>
  <c r="L193" i="1"/>
  <c r="L194" i="1"/>
  <c r="L195" i="1"/>
  <c r="M195" i="1" s="1"/>
  <c r="N195" i="1" s="1"/>
  <c r="L196" i="1"/>
  <c r="M196" i="1" s="1"/>
  <c r="N196" i="1" s="1"/>
  <c r="L197" i="1"/>
  <c r="M197" i="1" s="1"/>
  <c r="N197" i="1" s="1"/>
  <c r="L198" i="1"/>
  <c r="M198" i="1" s="1"/>
  <c r="N198" i="1" s="1"/>
  <c r="L199" i="1"/>
  <c r="L200" i="1"/>
  <c r="M200" i="1" s="1"/>
  <c r="N200" i="1" s="1"/>
  <c r="L201" i="1"/>
  <c r="M201" i="1" s="1"/>
  <c r="N201" i="1" s="1"/>
  <c r="L202" i="1"/>
  <c r="L203" i="1"/>
  <c r="M203" i="1" s="1"/>
  <c r="N203" i="1" s="1"/>
  <c r="L204" i="1"/>
  <c r="M204" i="1" s="1"/>
  <c r="N204" i="1" s="1"/>
  <c r="L205" i="1"/>
  <c r="M205" i="1" s="1"/>
  <c r="N205" i="1" s="1"/>
  <c r="L206" i="1"/>
  <c r="M206" i="1" s="1"/>
  <c r="N206" i="1" s="1"/>
  <c r="L207" i="1"/>
  <c r="L208" i="1"/>
  <c r="M208" i="1" s="1"/>
  <c r="N208" i="1" s="1"/>
  <c r="L209" i="1"/>
  <c r="L210" i="1"/>
  <c r="L211" i="1"/>
  <c r="M211" i="1" s="1"/>
  <c r="N211" i="1" s="1"/>
  <c r="L212" i="1"/>
  <c r="M212" i="1" s="1"/>
  <c r="N212" i="1" s="1"/>
  <c r="L213" i="1"/>
  <c r="M213" i="1" s="1"/>
  <c r="N213" i="1" s="1"/>
  <c r="L214" i="1"/>
  <c r="M214" i="1" s="1"/>
  <c r="L215" i="1"/>
  <c r="L216" i="1"/>
  <c r="M216" i="1" s="1"/>
  <c r="N216" i="1" s="1"/>
  <c r="L217" i="1"/>
  <c r="M217" i="1" s="1"/>
  <c r="N217" i="1" s="1"/>
  <c r="L218" i="1"/>
  <c r="L219" i="1"/>
  <c r="M219" i="1" s="1"/>
  <c r="N219" i="1" s="1"/>
  <c r="L220" i="1"/>
  <c r="M220" i="1" s="1"/>
  <c r="N220" i="1" s="1"/>
  <c r="L221" i="1"/>
  <c r="M221" i="1" s="1"/>
  <c r="N221" i="1" s="1"/>
  <c r="O221" i="1" s="1"/>
  <c r="P221" i="1" s="1"/>
  <c r="L222" i="1"/>
  <c r="M222" i="1" s="1"/>
  <c r="N222" i="1" s="1"/>
  <c r="L223" i="1"/>
  <c r="L224" i="1"/>
  <c r="M224" i="1" s="1"/>
  <c r="L225" i="1"/>
  <c r="L226" i="1"/>
  <c r="L227" i="1"/>
  <c r="M227" i="1" s="1"/>
  <c r="N227" i="1" s="1"/>
  <c r="L228" i="1"/>
  <c r="M228" i="1" s="1"/>
  <c r="N228" i="1" s="1"/>
  <c r="L229" i="1"/>
  <c r="M229" i="1" s="1"/>
  <c r="N229" i="1" s="1"/>
  <c r="L230" i="1"/>
  <c r="M230" i="1" s="1"/>
  <c r="N230" i="1" s="1"/>
  <c r="L231" i="1"/>
  <c r="L232" i="1"/>
  <c r="M232" i="1" s="1"/>
  <c r="N232" i="1" s="1"/>
  <c r="L233" i="1"/>
  <c r="M233" i="1" s="1"/>
  <c r="N233" i="1" s="1"/>
  <c r="L234" i="1"/>
  <c r="L235" i="1"/>
  <c r="M235" i="1" s="1"/>
  <c r="N235" i="1" s="1"/>
  <c r="L236" i="1"/>
  <c r="M236" i="1" s="1"/>
  <c r="N236" i="1" s="1"/>
  <c r="L237" i="1"/>
  <c r="M237" i="1" s="1"/>
  <c r="N237" i="1" s="1"/>
  <c r="L238" i="1"/>
  <c r="M238" i="1" s="1"/>
  <c r="N238" i="1" s="1"/>
  <c r="L239" i="1"/>
  <c r="L240" i="1"/>
  <c r="M240" i="1" s="1"/>
  <c r="N240" i="1" s="1"/>
  <c r="L241" i="1"/>
  <c r="L242" i="1"/>
  <c r="L243" i="1"/>
  <c r="M243" i="1" s="1"/>
  <c r="N243" i="1" s="1"/>
  <c r="L244" i="1"/>
  <c r="M244" i="1" s="1"/>
  <c r="N244" i="1" s="1"/>
  <c r="L245" i="1"/>
  <c r="M245" i="1" s="1"/>
  <c r="N245" i="1" s="1"/>
  <c r="L246" i="1"/>
  <c r="M246" i="1" s="1"/>
  <c r="N246" i="1" s="1"/>
  <c r="L247" i="1"/>
  <c r="L248" i="1"/>
  <c r="M248" i="1" s="1"/>
  <c r="N248" i="1" s="1"/>
  <c r="L249" i="1"/>
  <c r="M249" i="1" s="1"/>
  <c r="N249" i="1" s="1"/>
  <c r="L250" i="1"/>
  <c r="L251" i="1"/>
  <c r="M251" i="1" s="1"/>
  <c r="L252" i="1"/>
  <c r="M252" i="1" s="1"/>
  <c r="N252" i="1" s="1"/>
  <c r="L253" i="1"/>
  <c r="M253" i="1" s="1"/>
  <c r="N253" i="1" s="1"/>
  <c r="L254" i="1"/>
  <c r="M254" i="1" s="1"/>
  <c r="N254" i="1" s="1"/>
  <c r="L255" i="1"/>
  <c r="L256" i="1"/>
  <c r="M256" i="1" s="1"/>
  <c r="N256" i="1" s="1"/>
  <c r="L257" i="1"/>
  <c r="L258" i="1"/>
  <c r="L259" i="1"/>
  <c r="M259" i="1" s="1"/>
  <c r="N259" i="1" s="1"/>
  <c r="L260" i="1"/>
  <c r="M260" i="1" s="1"/>
  <c r="N260" i="1" s="1"/>
  <c r="L261" i="1"/>
  <c r="M261" i="1" s="1"/>
  <c r="N261" i="1" s="1"/>
  <c r="L262" i="1"/>
  <c r="M262" i="1" s="1"/>
  <c r="N262" i="1" s="1"/>
  <c r="L263" i="1"/>
  <c r="L264" i="1"/>
  <c r="M264" i="1" s="1"/>
  <c r="N264" i="1" s="1"/>
  <c r="L265" i="1"/>
  <c r="M265" i="1" s="1"/>
  <c r="N265" i="1" s="1"/>
  <c r="L266" i="1"/>
  <c r="L267" i="1"/>
  <c r="M267" i="1" s="1"/>
  <c r="N267" i="1" s="1"/>
  <c r="L268" i="1"/>
  <c r="M268" i="1" s="1"/>
  <c r="N268" i="1" s="1"/>
  <c r="L269" i="1"/>
  <c r="M269" i="1" s="1"/>
  <c r="N269" i="1" s="1"/>
  <c r="L270" i="1"/>
  <c r="M270" i="1" s="1"/>
  <c r="N270" i="1" s="1"/>
  <c r="L271" i="1"/>
  <c r="L272" i="1"/>
  <c r="M272" i="1" s="1"/>
  <c r="N272" i="1" s="1"/>
  <c r="L273" i="1"/>
  <c r="L274" i="1"/>
  <c r="L275" i="1"/>
  <c r="M275" i="1" s="1"/>
  <c r="N275" i="1" s="1"/>
  <c r="L276" i="1"/>
  <c r="M276" i="1" s="1"/>
  <c r="N276" i="1" s="1"/>
  <c r="L277" i="1"/>
  <c r="M277" i="1" s="1"/>
  <c r="N277" i="1" s="1"/>
  <c r="L278" i="1"/>
  <c r="M278" i="1" s="1"/>
  <c r="L279" i="1"/>
  <c r="L280" i="1"/>
  <c r="M280" i="1" s="1"/>
  <c r="N280" i="1" s="1"/>
  <c r="L281" i="1"/>
  <c r="M281" i="1" s="1"/>
  <c r="N281" i="1" s="1"/>
  <c r="L282" i="1"/>
  <c r="L283" i="1"/>
  <c r="M283" i="1" s="1"/>
  <c r="N283" i="1" s="1"/>
  <c r="L284" i="1"/>
  <c r="M284" i="1" s="1"/>
  <c r="N284" i="1" s="1"/>
  <c r="L285" i="1"/>
  <c r="M285" i="1" s="1"/>
  <c r="N285" i="1" s="1"/>
  <c r="O285" i="1" s="1"/>
  <c r="P285" i="1" s="1"/>
  <c r="L286" i="1"/>
  <c r="M286" i="1" s="1"/>
  <c r="N286" i="1" s="1"/>
  <c r="L287" i="1"/>
  <c r="L288" i="1"/>
  <c r="M288" i="1" s="1"/>
  <c r="N288" i="1" s="1"/>
  <c r="L289" i="1"/>
  <c r="L290" i="1"/>
  <c r="L291" i="1"/>
  <c r="M291" i="1" s="1"/>
  <c r="N291" i="1" s="1"/>
  <c r="L292" i="1"/>
  <c r="M292" i="1" s="1"/>
  <c r="N292" i="1" s="1"/>
  <c r="L293" i="1"/>
  <c r="M293" i="1" s="1"/>
  <c r="N293" i="1" s="1"/>
  <c r="L294" i="1"/>
  <c r="M294" i="1" s="1"/>
  <c r="L295" i="1"/>
  <c r="L296" i="1"/>
  <c r="M296" i="1" s="1"/>
  <c r="N296" i="1" s="1"/>
  <c r="L297" i="1"/>
  <c r="M297" i="1" s="1"/>
  <c r="N297" i="1" s="1"/>
  <c r="L298" i="1"/>
  <c r="L299" i="1"/>
  <c r="M299" i="1" s="1"/>
  <c r="N299" i="1" s="1"/>
  <c r="L300" i="1"/>
  <c r="M300" i="1" s="1"/>
  <c r="N300" i="1" s="1"/>
  <c r="L301" i="1"/>
  <c r="M301" i="1" s="1"/>
  <c r="N301" i="1" s="1"/>
  <c r="L302" i="1"/>
  <c r="M302" i="1" s="1"/>
  <c r="N302" i="1" s="1"/>
  <c r="L303" i="1"/>
  <c r="L304" i="1"/>
  <c r="M304" i="1" s="1"/>
  <c r="N304" i="1" s="1"/>
  <c r="L305" i="1"/>
  <c r="L306" i="1"/>
  <c r="L307" i="1"/>
  <c r="M307" i="1" s="1"/>
  <c r="N307" i="1" s="1"/>
  <c r="L308" i="1"/>
  <c r="M308" i="1" s="1"/>
  <c r="N308" i="1" s="1"/>
  <c r="L309" i="1"/>
  <c r="M309" i="1" s="1"/>
  <c r="N309" i="1" s="1"/>
  <c r="L310" i="1"/>
  <c r="M310" i="1" s="1"/>
  <c r="N310" i="1" s="1"/>
  <c r="L311" i="1"/>
  <c r="L312" i="1"/>
  <c r="M312" i="1" s="1"/>
  <c r="L313" i="1"/>
  <c r="M313" i="1" s="1"/>
  <c r="N313" i="1" s="1"/>
  <c r="L314" i="1"/>
  <c r="L315" i="1"/>
  <c r="M315" i="1" s="1"/>
  <c r="N315" i="1" s="1"/>
  <c r="L316" i="1"/>
  <c r="M316" i="1" s="1"/>
  <c r="N316" i="1" s="1"/>
  <c r="L317" i="1"/>
  <c r="M317" i="1" s="1"/>
  <c r="N317" i="1" s="1"/>
  <c r="L318" i="1"/>
  <c r="M318" i="1" s="1"/>
  <c r="N318" i="1" s="1"/>
  <c r="L319" i="1"/>
  <c r="L320" i="1"/>
  <c r="M320" i="1" s="1"/>
  <c r="N320" i="1" s="1"/>
  <c r="L321" i="1"/>
  <c r="L322" i="1"/>
  <c r="L323" i="1"/>
  <c r="M323" i="1" s="1"/>
  <c r="L324" i="1"/>
  <c r="M324" i="1" s="1"/>
  <c r="N324" i="1" s="1"/>
  <c r="L325" i="1"/>
  <c r="M325" i="1" s="1"/>
  <c r="N325" i="1" s="1"/>
  <c r="L326" i="1"/>
  <c r="M326" i="1" s="1"/>
  <c r="N326" i="1" s="1"/>
  <c r="L327" i="1"/>
  <c r="L328" i="1"/>
  <c r="M328" i="1" s="1"/>
  <c r="N328" i="1" s="1"/>
  <c r="L329" i="1"/>
  <c r="M329" i="1" s="1"/>
  <c r="N329" i="1" s="1"/>
  <c r="L330" i="1"/>
  <c r="L331" i="1"/>
  <c r="M331" i="1" s="1"/>
  <c r="N331" i="1" s="1"/>
  <c r="L332" i="1"/>
  <c r="M332" i="1" s="1"/>
  <c r="N332" i="1" s="1"/>
  <c r="L333" i="1"/>
  <c r="M333" i="1" s="1"/>
  <c r="N333" i="1" s="1"/>
  <c r="L334" i="1"/>
  <c r="M334" i="1" s="1"/>
  <c r="N334" i="1" s="1"/>
  <c r="L335" i="1"/>
  <c r="L336" i="1"/>
  <c r="M336" i="1" s="1"/>
  <c r="L337" i="1"/>
  <c r="L338" i="1"/>
  <c r="L339" i="1"/>
  <c r="M339" i="1" s="1"/>
  <c r="N339" i="1" s="1"/>
  <c r="L340" i="1"/>
  <c r="M340" i="1" s="1"/>
  <c r="N340" i="1" s="1"/>
  <c r="L341" i="1"/>
  <c r="M341" i="1" s="1"/>
  <c r="N341" i="1" s="1"/>
  <c r="L342" i="1"/>
  <c r="M342" i="1" s="1"/>
  <c r="L343" i="1"/>
  <c r="L344" i="1"/>
  <c r="M344" i="1" s="1"/>
  <c r="N344" i="1" s="1"/>
  <c r="L345" i="1"/>
  <c r="M345" i="1" s="1"/>
  <c r="N345" i="1" s="1"/>
  <c r="L346" i="1"/>
  <c r="L347" i="1"/>
  <c r="M347" i="1" s="1"/>
  <c r="N347" i="1" s="1"/>
  <c r="L348" i="1"/>
  <c r="M348" i="1" s="1"/>
  <c r="N348" i="1" s="1"/>
  <c r="L349" i="1"/>
  <c r="M349" i="1" s="1"/>
  <c r="N349" i="1" s="1"/>
  <c r="O349" i="1" s="1"/>
  <c r="P349" i="1" s="1"/>
  <c r="L350" i="1"/>
  <c r="M350" i="1" s="1"/>
  <c r="N350" i="1" s="1"/>
  <c r="L351" i="1"/>
  <c r="L352" i="1"/>
  <c r="M352" i="1" s="1"/>
  <c r="N352" i="1" s="1"/>
  <c r="L353" i="1"/>
  <c r="L354" i="1"/>
  <c r="L355" i="1"/>
  <c r="M355" i="1" s="1"/>
  <c r="N355" i="1" s="1"/>
  <c r="L356" i="1"/>
  <c r="M356" i="1" s="1"/>
  <c r="N356" i="1" s="1"/>
  <c r="L357" i="1"/>
  <c r="M357" i="1" s="1"/>
  <c r="N357" i="1" s="1"/>
  <c r="L358" i="1"/>
  <c r="M358" i="1" s="1"/>
  <c r="N358" i="1" s="1"/>
  <c r="L359" i="1"/>
  <c r="L360" i="1"/>
  <c r="M360" i="1" s="1"/>
  <c r="L361" i="1"/>
  <c r="M361" i="1" s="1"/>
  <c r="N361" i="1" s="1"/>
  <c r="L362" i="1"/>
  <c r="L363" i="1"/>
  <c r="M363" i="1" s="1"/>
  <c r="N363" i="1" s="1"/>
  <c r="L364" i="1"/>
  <c r="M364" i="1" s="1"/>
  <c r="N364" i="1" s="1"/>
  <c r="L365" i="1"/>
  <c r="M365" i="1" s="1"/>
  <c r="N365" i="1" s="1"/>
  <c r="L366" i="1"/>
  <c r="M366" i="1" s="1"/>
  <c r="N366" i="1" s="1"/>
  <c r="L367" i="1"/>
  <c r="L368" i="1"/>
  <c r="M368" i="1" s="1"/>
  <c r="N368" i="1" s="1"/>
  <c r="L369" i="1"/>
  <c r="L370" i="1"/>
  <c r="L6" i="1"/>
  <c r="M6" i="1" s="1"/>
  <c r="N6" i="1" s="1"/>
  <c r="K6" i="1"/>
  <c r="K7" i="1"/>
  <c r="K8" i="1"/>
  <c r="O8" i="1" s="1"/>
  <c r="P8" i="1" s="1"/>
  <c r="K9" i="1"/>
  <c r="K10" i="1"/>
  <c r="K11" i="1"/>
  <c r="O11" i="1" s="1"/>
  <c r="P11" i="1" s="1"/>
  <c r="K12" i="1"/>
  <c r="K13" i="1"/>
  <c r="K14" i="1"/>
  <c r="O14" i="1" s="1"/>
  <c r="P14" i="1" s="1"/>
  <c r="K15" i="1"/>
  <c r="K16" i="1"/>
  <c r="O16" i="1" s="1"/>
  <c r="P16" i="1" s="1"/>
  <c r="K17" i="1"/>
  <c r="K18" i="1"/>
  <c r="K19" i="1"/>
  <c r="O19" i="1" s="1"/>
  <c r="P19" i="1" s="1"/>
  <c r="K20" i="1"/>
  <c r="K21" i="1"/>
  <c r="O21" i="1" s="1"/>
  <c r="P21" i="1" s="1"/>
  <c r="K22" i="1"/>
  <c r="O22" i="1" s="1"/>
  <c r="P22" i="1" s="1"/>
  <c r="K23" i="1"/>
  <c r="K24" i="1"/>
  <c r="O24" i="1" s="1"/>
  <c r="P24" i="1" s="1"/>
  <c r="K25" i="1"/>
  <c r="K26" i="1"/>
  <c r="K27" i="1"/>
  <c r="K28" i="1"/>
  <c r="K29" i="1"/>
  <c r="K30" i="1"/>
  <c r="K31" i="1"/>
  <c r="K32" i="1"/>
  <c r="O32" i="1" s="1"/>
  <c r="P32" i="1" s="1"/>
  <c r="K33" i="1"/>
  <c r="K34" i="1"/>
  <c r="K35" i="1"/>
  <c r="O35" i="1" s="1"/>
  <c r="P35" i="1" s="1"/>
  <c r="K36" i="1"/>
  <c r="K37" i="1"/>
  <c r="K38" i="1"/>
  <c r="O38" i="1" s="1"/>
  <c r="P38" i="1" s="1"/>
  <c r="K39" i="1"/>
  <c r="O39" i="1" s="1"/>
  <c r="P39" i="1" s="1"/>
  <c r="K40" i="1"/>
  <c r="O40" i="1" s="1"/>
  <c r="P40" i="1" s="1"/>
  <c r="K41" i="1"/>
  <c r="K42" i="1"/>
  <c r="O42" i="1" s="1"/>
  <c r="P42" i="1" s="1"/>
  <c r="K43" i="1"/>
  <c r="O43" i="1" s="1"/>
  <c r="P43" i="1" s="1"/>
  <c r="K44" i="1"/>
  <c r="K45" i="1"/>
  <c r="O45" i="1" s="1"/>
  <c r="P45" i="1" s="1"/>
  <c r="K46" i="1"/>
  <c r="O46" i="1" s="1"/>
  <c r="P46" i="1" s="1"/>
  <c r="K47" i="1"/>
  <c r="K48" i="1"/>
  <c r="K49" i="1"/>
  <c r="K50" i="1"/>
  <c r="K51" i="1"/>
  <c r="O51" i="1" s="1"/>
  <c r="P51" i="1" s="1"/>
  <c r="K52" i="1"/>
  <c r="K53" i="1"/>
  <c r="K54" i="1"/>
  <c r="O54" i="1" s="1"/>
  <c r="P54" i="1" s="1"/>
  <c r="K55" i="1"/>
  <c r="O55" i="1" s="1"/>
  <c r="P55" i="1" s="1"/>
  <c r="K56" i="1"/>
  <c r="O56" i="1" s="1"/>
  <c r="P56" i="1" s="1"/>
  <c r="K57" i="1"/>
  <c r="K58" i="1"/>
  <c r="O58" i="1" s="1"/>
  <c r="P58" i="1" s="1"/>
  <c r="K59" i="1"/>
  <c r="O59" i="1" s="1"/>
  <c r="P59" i="1" s="1"/>
  <c r="K60" i="1"/>
  <c r="K61" i="1"/>
  <c r="O61" i="1" s="1"/>
  <c r="P61" i="1" s="1"/>
  <c r="K62" i="1"/>
  <c r="O62" i="1" s="1"/>
  <c r="P62" i="1" s="1"/>
  <c r="K63" i="1"/>
  <c r="K64" i="1"/>
  <c r="K65" i="1"/>
  <c r="K66" i="1"/>
  <c r="K67" i="1"/>
  <c r="O67" i="1" s="1"/>
  <c r="P67" i="1" s="1"/>
  <c r="K68" i="1"/>
  <c r="K69" i="1"/>
  <c r="K70" i="1"/>
  <c r="O70" i="1" s="1"/>
  <c r="P70" i="1" s="1"/>
  <c r="K71" i="1"/>
  <c r="O71" i="1" s="1"/>
  <c r="P71" i="1" s="1"/>
  <c r="K72" i="1"/>
  <c r="O72" i="1" s="1"/>
  <c r="P72" i="1" s="1"/>
  <c r="K73" i="1"/>
  <c r="K74" i="1"/>
  <c r="O74" i="1" s="1"/>
  <c r="P74" i="1" s="1"/>
  <c r="K75" i="1"/>
  <c r="O75" i="1" s="1"/>
  <c r="P75" i="1" s="1"/>
  <c r="K76" i="1"/>
  <c r="K77" i="1"/>
  <c r="O77" i="1" s="1"/>
  <c r="P77" i="1" s="1"/>
  <c r="K78" i="1"/>
  <c r="O78" i="1" s="1"/>
  <c r="P78" i="1" s="1"/>
  <c r="K79" i="1"/>
  <c r="K80" i="1"/>
  <c r="K81" i="1"/>
  <c r="K82" i="1"/>
  <c r="K83" i="1"/>
  <c r="O83" i="1" s="1"/>
  <c r="P83" i="1" s="1"/>
  <c r="K84" i="1"/>
  <c r="K85" i="1"/>
  <c r="K86" i="1"/>
  <c r="O86" i="1" s="1"/>
  <c r="P86" i="1" s="1"/>
  <c r="K87" i="1"/>
  <c r="O87" i="1" s="1"/>
  <c r="P87" i="1" s="1"/>
  <c r="K88" i="1"/>
  <c r="O88" i="1" s="1"/>
  <c r="P88" i="1" s="1"/>
  <c r="K89" i="1"/>
  <c r="K90" i="1"/>
  <c r="O90" i="1" s="1"/>
  <c r="P90" i="1" s="1"/>
  <c r="K91" i="1"/>
  <c r="O91" i="1" s="1"/>
  <c r="P91" i="1" s="1"/>
  <c r="K92" i="1"/>
  <c r="K93" i="1"/>
  <c r="K94" i="1"/>
  <c r="O94" i="1" s="1"/>
  <c r="P94" i="1" s="1"/>
  <c r="K95" i="1"/>
  <c r="K96" i="1"/>
  <c r="O96" i="1" s="1"/>
  <c r="P96" i="1" s="1"/>
  <c r="K97" i="1"/>
  <c r="K98" i="1"/>
  <c r="K99" i="1"/>
  <c r="O99" i="1" s="1"/>
  <c r="P99" i="1" s="1"/>
  <c r="K100" i="1"/>
  <c r="K101" i="1"/>
  <c r="K102" i="1"/>
  <c r="O102" i="1" s="1"/>
  <c r="P102" i="1" s="1"/>
  <c r="K103" i="1"/>
  <c r="O103" i="1" s="1"/>
  <c r="P103" i="1" s="1"/>
  <c r="K104" i="1"/>
  <c r="K105" i="1"/>
  <c r="K106" i="1"/>
  <c r="O106" i="1" s="1"/>
  <c r="P106" i="1" s="1"/>
  <c r="K107" i="1"/>
  <c r="O107" i="1" s="1"/>
  <c r="P107" i="1" s="1"/>
  <c r="K108" i="1"/>
  <c r="K109" i="1"/>
  <c r="O109" i="1" s="1"/>
  <c r="P109" i="1" s="1"/>
  <c r="K110" i="1"/>
  <c r="O110" i="1" s="1"/>
  <c r="P110" i="1" s="1"/>
  <c r="K111" i="1"/>
  <c r="K112" i="1"/>
  <c r="O112" i="1" s="1"/>
  <c r="P112" i="1" s="1"/>
  <c r="K113" i="1"/>
  <c r="K114" i="1"/>
  <c r="K115" i="1"/>
  <c r="O115" i="1" s="1"/>
  <c r="P115" i="1" s="1"/>
  <c r="K116" i="1"/>
  <c r="K117" i="1"/>
  <c r="K118" i="1"/>
  <c r="O118" i="1" s="1"/>
  <c r="P118" i="1" s="1"/>
  <c r="K119" i="1"/>
  <c r="O119" i="1" s="1"/>
  <c r="P119" i="1" s="1"/>
  <c r="K120" i="1"/>
  <c r="O120" i="1" s="1"/>
  <c r="P120" i="1" s="1"/>
  <c r="K121" i="1"/>
  <c r="K122" i="1"/>
  <c r="K123" i="1"/>
  <c r="K124" i="1"/>
  <c r="K125" i="1"/>
  <c r="O125" i="1" s="1"/>
  <c r="P125" i="1" s="1"/>
  <c r="K126" i="1"/>
  <c r="O126" i="1" s="1"/>
  <c r="P126" i="1" s="1"/>
  <c r="K127" i="1"/>
  <c r="K128" i="1"/>
  <c r="O128" i="1" s="1"/>
  <c r="P128" i="1" s="1"/>
  <c r="K129" i="1"/>
  <c r="K130" i="1"/>
  <c r="K131" i="1"/>
  <c r="O131" i="1" s="1"/>
  <c r="P131" i="1" s="1"/>
  <c r="K132" i="1"/>
  <c r="K133" i="1"/>
  <c r="K134" i="1"/>
  <c r="O134" i="1" s="1"/>
  <c r="P134" i="1" s="1"/>
  <c r="K135" i="1"/>
  <c r="O135" i="1" s="1"/>
  <c r="P135" i="1" s="1"/>
  <c r="K136" i="1"/>
  <c r="O136" i="1" s="1"/>
  <c r="P136" i="1" s="1"/>
  <c r="K137" i="1"/>
  <c r="K138" i="1"/>
  <c r="O138" i="1" s="1"/>
  <c r="P138" i="1" s="1"/>
  <c r="K139" i="1"/>
  <c r="O139" i="1" s="1"/>
  <c r="P139" i="1" s="1"/>
  <c r="K140" i="1"/>
  <c r="K141" i="1"/>
  <c r="K142" i="1"/>
  <c r="K143" i="1"/>
  <c r="K144" i="1"/>
  <c r="O144" i="1" s="1"/>
  <c r="P144" i="1" s="1"/>
  <c r="K145" i="1"/>
  <c r="K146" i="1"/>
  <c r="K147" i="1"/>
  <c r="O147" i="1" s="1"/>
  <c r="P147" i="1" s="1"/>
  <c r="K148" i="1"/>
  <c r="K149" i="1"/>
  <c r="K150" i="1"/>
  <c r="K151" i="1"/>
  <c r="K152" i="1"/>
  <c r="O152" i="1" s="1"/>
  <c r="P152" i="1" s="1"/>
  <c r="K153" i="1"/>
  <c r="K154" i="1"/>
  <c r="O154" i="1" s="1"/>
  <c r="P154" i="1" s="1"/>
  <c r="K155" i="1"/>
  <c r="O155" i="1" s="1"/>
  <c r="P155" i="1" s="1"/>
  <c r="K156" i="1"/>
  <c r="K157" i="1"/>
  <c r="K158" i="1"/>
  <c r="O158" i="1" s="1"/>
  <c r="P158" i="1" s="1"/>
  <c r="K159" i="1"/>
  <c r="K160" i="1"/>
  <c r="K161" i="1"/>
  <c r="K162" i="1"/>
  <c r="K163" i="1"/>
  <c r="O163" i="1" s="1"/>
  <c r="P163" i="1" s="1"/>
  <c r="K164" i="1"/>
  <c r="K165" i="1"/>
  <c r="K166" i="1"/>
  <c r="O166" i="1" s="1"/>
  <c r="P166" i="1" s="1"/>
  <c r="K167" i="1"/>
  <c r="O167" i="1" s="1"/>
  <c r="P167" i="1" s="1"/>
  <c r="K168" i="1"/>
  <c r="O168" i="1" s="1"/>
  <c r="P168" i="1" s="1"/>
  <c r="K169" i="1"/>
  <c r="K170" i="1"/>
  <c r="O170" i="1" s="1"/>
  <c r="P170" i="1" s="1"/>
  <c r="K171" i="1"/>
  <c r="O171" i="1" s="1"/>
  <c r="P171" i="1" s="1"/>
  <c r="K172" i="1"/>
  <c r="K173" i="1"/>
  <c r="O173" i="1" s="1"/>
  <c r="P173" i="1" s="1"/>
  <c r="K174" i="1"/>
  <c r="O174" i="1" s="1"/>
  <c r="P174" i="1" s="1"/>
  <c r="K175" i="1"/>
  <c r="K176" i="1"/>
  <c r="O176" i="1" s="1"/>
  <c r="P176" i="1" s="1"/>
  <c r="K177" i="1"/>
  <c r="K178" i="1"/>
  <c r="K179" i="1"/>
  <c r="O179" i="1" s="1"/>
  <c r="P179" i="1" s="1"/>
  <c r="K180" i="1"/>
  <c r="K181" i="1"/>
  <c r="K182" i="1"/>
  <c r="O182" i="1" s="1"/>
  <c r="P182" i="1" s="1"/>
  <c r="K183" i="1"/>
  <c r="O183" i="1" s="1"/>
  <c r="P183" i="1" s="1"/>
  <c r="K184" i="1"/>
  <c r="O184" i="1" s="1"/>
  <c r="P184" i="1" s="1"/>
  <c r="K185" i="1"/>
  <c r="K186" i="1"/>
  <c r="K187" i="1"/>
  <c r="O187" i="1" s="1"/>
  <c r="P187" i="1" s="1"/>
  <c r="K188" i="1"/>
  <c r="K189" i="1"/>
  <c r="O189" i="1" s="1"/>
  <c r="P189" i="1" s="1"/>
  <c r="K190" i="1"/>
  <c r="O190" i="1" s="1"/>
  <c r="P190" i="1" s="1"/>
  <c r="K191" i="1"/>
  <c r="K192" i="1"/>
  <c r="O192" i="1" s="1"/>
  <c r="P192" i="1" s="1"/>
  <c r="K193" i="1"/>
  <c r="K194" i="1"/>
  <c r="K195" i="1"/>
  <c r="K196" i="1"/>
  <c r="K197" i="1"/>
  <c r="K198" i="1"/>
  <c r="O198" i="1" s="1"/>
  <c r="P198" i="1" s="1"/>
  <c r="K199" i="1"/>
  <c r="O199" i="1" s="1"/>
  <c r="P199" i="1" s="1"/>
  <c r="K200" i="1"/>
  <c r="O200" i="1" s="1"/>
  <c r="P200" i="1" s="1"/>
  <c r="K201" i="1"/>
  <c r="K202" i="1"/>
  <c r="O202" i="1" s="1"/>
  <c r="P202" i="1" s="1"/>
  <c r="K203" i="1"/>
  <c r="O203" i="1" s="1"/>
  <c r="P203" i="1" s="1"/>
  <c r="K204" i="1"/>
  <c r="K205" i="1"/>
  <c r="K206" i="1"/>
  <c r="K207" i="1"/>
  <c r="K208" i="1"/>
  <c r="O208" i="1" s="1"/>
  <c r="P208" i="1" s="1"/>
  <c r="K209" i="1"/>
  <c r="K210" i="1"/>
  <c r="K211" i="1"/>
  <c r="O211" i="1" s="1"/>
  <c r="P211" i="1" s="1"/>
  <c r="K212" i="1"/>
  <c r="K213" i="1"/>
  <c r="K214" i="1"/>
  <c r="O214" i="1" s="1"/>
  <c r="P214" i="1" s="1"/>
  <c r="K215" i="1"/>
  <c r="O215" i="1" s="1"/>
  <c r="P215" i="1" s="1"/>
  <c r="K216" i="1"/>
  <c r="O216" i="1" s="1"/>
  <c r="P216" i="1" s="1"/>
  <c r="K217" i="1"/>
  <c r="K218" i="1"/>
  <c r="O218" i="1" s="1"/>
  <c r="P218" i="1" s="1"/>
  <c r="K219" i="1"/>
  <c r="O219" i="1" s="1"/>
  <c r="P219" i="1" s="1"/>
  <c r="K220" i="1"/>
  <c r="K221" i="1"/>
  <c r="K222" i="1"/>
  <c r="O222" i="1" s="1"/>
  <c r="P222" i="1" s="1"/>
  <c r="K223" i="1"/>
  <c r="K224" i="1"/>
  <c r="O224" i="1" s="1"/>
  <c r="P224" i="1" s="1"/>
  <c r="K225" i="1"/>
  <c r="K226" i="1"/>
  <c r="K227" i="1"/>
  <c r="O227" i="1" s="1"/>
  <c r="P227" i="1" s="1"/>
  <c r="K228" i="1"/>
  <c r="K229" i="1"/>
  <c r="K230" i="1"/>
  <c r="O230" i="1" s="1"/>
  <c r="P230" i="1" s="1"/>
  <c r="K231" i="1"/>
  <c r="O231" i="1" s="1"/>
  <c r="P231" i="1" s="1"/>
  <c r="K232" i="1"/>
  <c r="K233" i="1"/>
  <c r="K234" i="1"/>
  <c r="O234" i="1" s="1"/>
  <c r="P234" i="1" s="1"/>
  <c r="K235" i="1"/>
  <c r="O235" i="1" s="1"/>
  <c r="P235" i="1" s="1"/>
  <c r="K236" i="1"/>
  <c r="K237" i="1"/>
  <c r="O237" i="1" s="1"/>
  <c r="P237" i="1" s="1"/>
  <c r="K238" i="1"/>
  <c r="O238" i="1" s="1"/>
  <c r="P238" i="1" s="1"/>
  <c r="K239" i="1"/>
  <c r="K240" i="1"/>
  <c r="O240" i="1" s="1"/>
  <c r="P240" i="1" s="1"/>
  <c r="K241" i="1"/>
  <c r="K242" i="1"/>
  <c r="K243" i="1"/>
  <c r="O243" i="1" s="1"/>
  <c r="P243" i="1" s="1"/>
  <c r="K244" i="1"/>
  <c r="K245" i="1"/>
  <c r="K246" i="1"/>
  <c r="O246" i="1" s="1"/>
  <c r="P246" i="1" s="1"/>
  <c r="K247" i="1"/>
  <c r="O247" i="1" s="1"/>
  <c r="P247" i="1" s="1"/>
  <c r="K248" i="1"/>
  <c r="O248" i="1" s="1"/>
  <c r="P248" i="1" s="1"/>
  <c r="K249" i="1"/>
  <c r="K250" i="1"/>
  <c r="K251" i="1"/>
  <c r="K252" i="1"/>
  <c r="K253" i="1"/>
  <c r="O253" i="1" s="1"/>
  <c r="P253" i="1" s="1"/>
  <c r="K254" i="1"/>
  <c r="O254" i="1" s="1"/>
  <c r="P254" i="1" s="1"/>
  <c r="K255" i="1"/>
  <c r="K256" i="1"/>
  <c r="O256" i="1" s="1"/>
  <c r="P256" i="1" s="1"/>
  <c r="K257" i="1"/>
  <c r="K258" i="1"/>
  <c r="K259" i="1"/>
  <c r="K260" i="1"/>
  <c r="K261" i="1"/>
  <c r="K262" i="1"/>
  <c r="O262" i="1" s="1"/>
  <c r="P262" i="1" s="1"/>
  <c r="K263" i="1"/>
  <c r="O263" i="1" s="1"/>
  <c r="P263" i="1" s="1"/>
  <c r="K264" i="1"/>
  <c r="O264" i="1" s="1"/>
  <c r="P264" i="1" s="1"/>
  <c r="K265" i="1"/>
  <c r="K266" i="1"/>
  <c r="O266" i="1" s="1"/>
  <c r="P266" i="1" s="1"/>
  <c r="K267" i="1"/>
  <c r="O267" i="1" s="1"/>
  <c r="P267" i="1" s="1"/>
  <c r="K268" i="1"/>
  <c r="K269" i="1"/>
  <c r="K270" i="1"/>
  <c r="K271" i="1"/>
  <c r="O271" i="1" s="1"/>
  <c r="P271" i="1" s="1"/>
  <c r="K272" i="1"/>
  <c r="O272" i="1" s="1"/>
  <c r="P272" i="1" s="1"/>
  <c r="K273" i="1"/>
  <c r="K274" i="1"/>
  <c r="K275" i="1"/>
  <c r="O275" i="1" s="1"/>
  <c r="P275" i="1" s="1"/>
  <c r="K276" i="1"/>
  <c r="K277" i="1"/>
  <c r="K278" i="1"/>
  <c r="O278" i="1" s="1"/>
  <c r="P278" i="1" s="1"/>
  <c r="K279" i="1"/>
  <c r="K280" i="1"/>
  <c r="O280" i="1" s="1"/>
  <c r="P280" i="1" s="1"/>
  <c r="K281" i="1"/>
  <c r="K282" i="1"/>
  <c r="O282" i="1" s="1"/>
  <c r="P282" i="1" s="1"/>
  <c r="K283" i="1"/>
  <c r="O283" i="1" s="1"/>
  <c r="P283" i="1" s="1"/>
  <c r="K284" i="1"/>
  <c r="K285" i="1"/>
  <c r="K286" i="1"/>
  <c r="O286" i="1" s="1"/>
  <c r="P286" i="1" s="1"/>
  <c r="K287" i="1"/>
  <c r="O287" i="1" s="1"/>
  <c r="P287" i="1" s="1"/>
  <c r="K288" i="1"/>
  <c r="K289" i="1"/>
  <c r="K290" i="1"/>
  <c r="K291" i="1"/>
  <c r="O291" i="1" s="1"/>
  <c r="P291" i="1" s="1"/>
  <c r="K292" i="1"/>
  <c r="K293" i="1"/>
  <c r="K294" i="1"/>
  <c r="O294" i="1" s="1"/>
  <c r="P294" i="1" s="1"/>
  <c r="K295" i="1"/>
  <c r="O295" i="1" s="1"/>
  <c r="P295" i="1" s="1"/>
  <c r="K296" i="1"/>
  <c r="K297" i="1"/>
  <c r="K298" i="1"/>
  <c r="O298" i="1" s="1"/>
  <c r="K299" i="1"/>
  <c r="K300" i="1"/>
  <c r="K301" i="1"/>
  <c r="O301" i="1" s="1"/>
  <c r="P301" i="1" s="1"/>
  <c r="K302" i="1"/>
  <c r="O302" i="1" s="1"/>
  <c r="P302" i="1" s="1"/>
  <c r="K303" i="1"/>
  <c r="O303" i="1" s="1"/>
  <c r="P303" i="1" s="1"/>
  <c r="K304" i="1"/>
  <c r="O304" i="1" s="1"/>
  <c r="P304" i="1" s="1"/>
  <c r="K305" i="1"/>
  <c r="K306" i="1"/>
  <c r="K307" i="1"/>
  <c r="O307" i="1" s="1"/>
  <c r="P307" i="1" s="1"/>
  <c r="K308" i="1"/>
  <c r="K309" i="1"/>
  <c r="K310" i="1"/>
  <c r="O310" i="1" s="1"/>
  <c r="P310" i="1" s="1"/>
  <c r="K311" i="1"/>
  <c r="O311" i="1" s="1"/>
  <c r="P311" i="1" s="1"/>
  <c r="K312" i="1"/>
  <c r="O312" i="1" s="1"/>
  <c r="P312" i="1" s="1"/>
  <c r="K313" i="1"/>
  <c r="K314" i="1"/>
  <c r="K315" i="1"/>
  <c r="K316" i="1"/>
  <c r="K317" i="1"/>
  <c r="O317" i="1" s="1"/>
  <c r="P317" i="1" s="1"/>
  <c r="K318" i="1"/>
  <c r="K319" i="1"/>
  <c r="O319" i="1" s="1"/>
  <c r="P319" i="1" s="1"/>
  <c r="K320" i="1"/>
  <c r="O320" i="1" s="1"/>
  <c r="P320" i="1" s="1"/>
  <c r="K321" i="1"/>
  <c r="K322" i="1"/>
  <c r="K323" i="1"/>
  <c r="K324" i="1"/>
  <c r="K325" i="1"/>
  <c r="K326" i="1"/>
  <c r="O326" i="1" s="1"/>
  <c r="P326" i="1" s="1"/>
  <c r="K327" i="1"/>
  <c r="K328" i="1"/>
  <c r="O328" i="1" s="1"/>
  <c r="P328" i="1" s="1"/>
  <c r="K329" i="1"/>
  <c r="K330" i="1"/>
  <c r="O330" i="1" s="1"/>
  <c r="P330" i="1" s="1"/>
  <c r="K331" i="1"/>
  <c r="O331" i="1" s="1"/>
  <c r="P331" i="1" s="1"/>
  <c r="K332" i="1"/>
  <c r="K333" i="1"/>
  <c r="K334" i="1"/>
  <c r="K335" i="1"/>
  <c r="O335" i="1" s="1"/>
  <c r="P335" i="1" s="1"/>
  <c r="K336" i="1"/>
  <c r="O336" i="1" s="1"/>
  <c r="P336" i="1" s="1"/>
  <c r="K337" i="1"/>
  <c r="K338" i="1"/>
  <c r="K339" i="1"/>
  <c r="K340" i="1"/>
  <c r="K341" i="1"/>
  <c r="K342" i="1"/>
  <c r="O342" i="1" s="1"/>
  <c r="P342" i="1" s="1"/>
  <c r="K343" i="1"/>
  <c r="O343" i="1" s="1"/>
  <c r="P343" i="1" s="1"/>
  <c r="K344" i="1"/>
  <c r="O344" i="1" s="1"/>
  <c r="P344" i="1" s="1"/>
  <c r="K345" i="1"/>
  <c r="K346" i="1"/>
  <c r="O346" i="1" s="1"/>
  <c r="P346" i="1" s="1"/>
  <c r="K347" i="1"/>
  <c r="O347" i="1" s="1"/>
  <c r="P347" i="1" s="1"/>
  <c r="K348" i="1"/>
  <c r="K349" i="1"/>
  <c r="K350" i="1"/>
  <c r="O350" i="1" s="1"/>
  <c r="P350" i="1" s="1"/>
  <c r="K351" i="1"/>
  <c r="O351" i="1" s="1"/>
  <c r="P351" i="1" s="1"/>
  <c r="K352" i="1"/>
  <c r="K353" i="1"/>
  <c r="K354" i="1"/>
  <c r="K355" i="1"/>
  <c r="O355" i="1" s="1"/>
  <c r="P355" i="1" s="1"/>
  <c r="K356" i="1"/>
  <c r="K357" i="1"/>
  <c r="K358" i="1"/>
  <c r="K359" i="1"/>
  <c r="O359" i="1" s="1"/>
  <c r="P359" i="1" s="1"/>
  <c r="K360" i="1"/>
  <c r="K361" i="1"/>
  <c r="K362" i="1"/>
  <c r="O362" i="1" s="1"/>
  <c r="P362" i="1" s="1"/>
  <c r="K363" i="1"/>
  <c r="K364" i="1"/>
  <c r="K365" i="1"/>
  <c r="O365" i="1" s="1"/>
  <c r="P365" i="1" s="1"/>
  <c r="K366" i="1"/>
  <c r="O366" i="1" s="1"/>
  <c r="P366" i="1" s="1"/>
  <c r="K367" i="1"/>
  <c r="O367" i="1" s="1"/>
  <c r="P367" i="1" s="1"/>
  <c r="K368" i="1"/>
  <c r="O368" i="1" s="1"/>
  <c r="P368" i="1" s="1"/>
  <c r="K369" i="1"/>
  <c r="K370" i="1"/>
  <c r="Q335" i="1" l="1"/>
  <c r="R335" i="1"/>
  <c r="Q295" i="1"/>
  <c r="R295" i="1"/>
  <c r="S295" i="1" s="1"/>
  <c r="T295" i="1" s="1"/>
  <c r="U295" i="1" s="1"/>
  <c r="V295" i="1" s="1"/>
  <c r="R285" i="1"/>
  <c r="Q285" i="1"/>
  <c r="R93" i="1"/>
  <c r="Q93" i="1"/>
  <c r="Q207" i="1"/>
  <c r="R207" i="1"/>
  <c r="S207" i="1" s="1"/>
  <c r="T207" i="1" s="1"/>
  <c r="U207" i="1" s="1"/>
  <c r="V207" i="1" s="1"/>
  <c r="R79" i="1"/>
  <c r="Q79" i="1"/>
  <c r="Q255" i="1"/>
  <c r="R255" i="1"/>
  <c r="Q127" i="1"/>
  <c r="R127" i="1"/>
  <c r="Q351" i="1"/>
  <c r="R351" i="1"/>
  <c r="Q287" i="1"/>
  <c r="R287" i="1"/>
  <c r="S287" i="1" s="1"/>
  <c r="T287" i="1" s="1"/>
  <c r="U287" i="1" s="1"/>
  <c r="V287" i="1" s="1"/>
  <c r="R346" i="1"/>
  <c r="Q346" i="1"/>
  <c r="R218" i="1"/>
  <c r="Q218" i="1"/>
  <c r="Q223" i="1"/>
  <c r="R223" i="1"/>
  <c r="S223" i="1" s="1"/>
  <c r="T223" i="1" s="1"/>
  <c r="U223" i="1" s="1"/>
  <c r="V223" i="1" s="1"/>
  <c r="R95" i="1"/>
  <c r="Q95" i="1"/>
  <c r="Q143" i="1"/>
  <c r="R143" i="1"/>
  <c r="Q319" i="1"/>
  <c r="R319" i="1"/>
  <c r="Q367" i="1"/>
  <c r="R367" i="1"/>
  <c r="Q303" i="1"/>
  <c r="R303" i="1"/>
  <c r="Q247" i="1"/>
  <c r="R247" i="1"/>
  <c r="Q191" i="1"/>
  <c r="R191" i="1"/>
  <c r="R63" i="1"/>
  <c r="S63" i="1" s="1"/>
  <c r="T63" i="1" s="1"/>
  <c r="U63" i="1" s="1"/>
  <c r="V63" i="1" s="1"/>
  <c r="Q63" i="1"/>
  <c r="R28" i="1"/>
  <c r="Q28" i="1"/>
  <c r="Q271" i="1"/>
  <c r="R271" i="1"/>
  <c r="R349" i="1"/>
  <c r="S349" i="1" s="1"/>
  <c r="T349" i="1" s="1"/>
  <c r="U349" i="1" s="1"/>
  <c r="V349" i="1" s="1"/>
  <c r="Q349" i="1"/>
  <c r="R221" i="1"/>
  <c r="Q221" i="1"/>
  <c r="R157" i="1"/>
  <c r="Q157" i="1"/>
  <c r="Q9" i="1"/>
  <c r="R9" i="1"/>
  <c r="Q350" i="1"/>
  <c r="R350" i="1"/>
  <c r="Q222" i="1"/>
  <c r="R222" i="1"/>
  <c r="S222" i="1" s="1"/>
  <c r="T222" i="1" s="1"/>
  <c r="U222" i="1" s="1"/>
  <c r="V222" i="1" s="1"/>
  <c r="R365" i="1"/>
  <c r="Q365" i="1"/>
  <c r="O333" i="1"/>
  <c r="P333" i="1" s="1"/>
  <c r="R317" i="1"/>
  <c r="Q317" i="1"/>
  <c r="R301" i="1"/>
  <c r="Q301" i="1"/>
  <c r="O269" i="1"/>
  <c r="P269" i="1" s="1"/>
  <c r="R253" i="1"/>
  <c r="Q253" i="1"/>
  <c r="R237" i="1"/>
  <c r="S237" i="1" s="1"/>
  <c r="T237" i="1" s="1"/>
  <c r="U237" i="1" s="1"/>
  <c r="V237" i="1" s="1"/>
  <c r="Q237" i="1"/>
  <c r="O205" i="1"/>
  <c r="P205" i="1" s="1"/>
  <c r="R189" i="1"/>
  <c r="Q189" i="1"/>
  <c r="R173" i="1"/>
  <c r="S173" i="1" s="1"/>
  <c r="T173" i="1" s="1"/>
  <c r="U173" i="1" s="1"/>
  <c r="V173" i="1" s="1"/>
  <c r="Q173" i="1"/>
  <c r="O141" i="1"/>
  <c r="P141" i="1" s="1"/>
  <c r="R125" i="1"/>
  <c r="Q125" i="1"/>
  <c r="R109" i="1"/>
  <c r="S109" i="1" s="1"/>
  <c r="T109" i="1" s="1"/>
  <c r="U109" i="1" s="1"/>
  <c r="V109" i="1" s="1"/>
  <c r="Q109" i="1"/>
  <c r="R77" i="1"/>
  <c r="Q77" i="1"/>
  <c r="R61" i="1"/>
  <c r="Q61" i="1"/>
  <c r="R45" i="1"/>
  <c r="S45" i="1" s="1"/>
  <c r="T45" i="1" s="1"/>
  <c r="U45" i="1" s="1"/>
  <c r="V45" i="1" s="1"/>
  <c r="Q45" i="1"/>
  <c r="Q159" i="1"/>
  <c r="R159" i="1"/>
  <c r="Q263" i="1"/>
  <c r="R263" i="1"/>
  <c r="Q183" i="1"/>
  <c r="R183" i="1"/>
  <c r="Q119" i="1"/>
  <c r="R119" i="1"/>
  <c r="R39" i="1"/>
  <c r="Q39" i="1"/>
  <c r="O334" i="1"/>
  <c r="P334" i="1" s="1"/>
  <c r="R294" i="1"/>
  <c r="Q294" i="1"/>
  <c r="R246" i="1"/>
  <c r="Q246" i="1"/>
  <c r="O206" i="1"/>
  <c r="P206" i="1" s="1"/>
  <c r="Q158" i="1"/>
  <c r="R158" i="1"/>
  <c r="S158" i="1" s="1"/>
  <c r="T158" i="1" s="1"/>
  <c r="U158" i="1" s="1"/>
  <c r="V158" i="1" s="1"/>
  <c r="R110" i="1"/>
  <c r="Q110" i="1"/>
  <c r="R62" i="1"/>
  <c r="S62" i="1" s="1"/>
  <c r="T62" i="1" s="1"/>
  <c r="U62" i="1" s="1"/>
  <c r="V62" i="1" s="1"/>
  <c r="Q62" i="1"/>
  <c r="O30" i="1"/>
  <c r="P30" i="1" s="1"/>
  <c r="R368" i="1"/>
  <c r="Q368" i="1"/>
  <c r="O360" i="1"/>
  <c r="P360" i="1" s="1"/>
  <c r="O352" i="1"/>
  <c r="P352" i="1" s="1"/>
  <c r="R344" i="1"/>
  <c r="S344" i="1" s="1"/>
  <c r="T344" i="1" s="1"/>
  <c r="U344" i="1" s="1"/>
  <c r="V344" i="1" s="1"/>
  <c r="Q344" i="1"/>
  <c r="R336" i="1"/>
  <c r="Q336" i="1"/>
  <c r="R328" i="1"/>
  <c r="R320" i="1"/>
  <c r="S320" i="1" s="1"/>
  <c r="T320" i="1" s="1"/>
  <c r="U320" i="1" s="1"/>
  <c r="V320" i="1" s="1"/>
  <c r="Q320" i="1"/>
  <c r="R312" i="1"/>
  <c r="Q312" i="1"/>
  <c r="R304" i="1"/>
  <c r="Q304" i="1"/>
  <c r="O296" i="1"/>
  <c r="P296" i="1" s="1"/>
  <c r="O288" i="1"/>
  <c r="P288" i="1" s="1"/>
  <c r="R280" i="1"/>
  <c r="Q280" i="1"/>
  <c r="R272" i="1"/>
  <c r="Q272" i="1"/>
  <c r="R264" i="1"/>
  <c r="R256" i="1"/>
  <c r="Q256" i="1"/>
  <c r="R248" i="1"/>
  <c r="Q248" i="1"/>
  <c r="R240" i="1"/>
  <c r="Q240" i="1"/>
  <c r="O232" i="1"/>
  <c r="P232" i="1" s="1"/>
  <c r="R224" i="1"/>
  <c r="Q224" i="1"/>
  <c r="R216" i="1"/>
  <c r="S216" i="1" s="1"/>
  <c r="T216" i="1" s="1"/>
  <c r="U216" i="1" s="1"/>
  <c r="V216" i="1" s="1"/>
  <c r="Q216" i="1"/>
  <c r="R208" i="1"/>
  <c r="Q208" i="1"/>
  <c r="R200" i="1"/>
  <c r="R192" i="1"/>
  <c r="S192" i="1" s="1"/>
  <c r="T192" i="1" s="1"/>
  <c r="U192" i="1" s="1"/>
  <c r="V192" i="1" s="1"/>
  <c r="Q192" i="1"/>
  <c r="R184" i="1"/>
  <c r="Q184" i="1"/>
  <c r="R176" i="1"/>
  <c r="Q176" i="1"/>
  <c r="R168" i="1"/>
  <c r="O160" i="1"/>
  <c r="P160" i="1" s="1"/>
  <c r="R152" i="1"/>
  <c r="Q152" i="1"/>
  <c r="R144" i="1"/>
  <c r="S144" i="1" s="1"/>
  <c r="T144" i="1" s="1"/>
  <c r="U144" i="1" s="1"/>
  <c r="V144" i="1" s="1"/>
  <c r="Q144" i="1"/>
  <c r="R136" i="1"/>
  <c r="R128" i="1"/>
  <c r="Q128" i="1"/>
  <c r="R120" i="1"/>
  <c r="S120" i="1" s="1"/>
  <c r="T120" i="1" s="1"/>
  <c r="U120" i="1" s="1"/>
  <c r="V120" i="1" s="1"/>
  <c r="Q120" i="1"/>
  <c r="R112" i="1"/>
  <c r="S112" i="1" s="1"/>
  <c r="T112" i="1" s="1"/>
  <c r="U112" i="1" s="1"/>
  <c r="V112" i="1" s="1"/>
  <c r="Q112" i="1"/>
  <c r="O104" i="1"/>
  <c r="P104" i="1" s="1"/>
  <c r="Q96" i="1"/>
  <c r="R88" i="1"/>
  <c r="S88" i="1" s="1"/>
  <c r="T88" i="1" s="1"/>
  <c r="U88" i="1" s="1"/>
  <c r="V88" i="1" s="1"/>
  <c r="Q88" i="1"/>
  <c r="O80" i="1"/>
  <c r="P80" i="1" s="1"/>
  <c r="R72" i="1"/>
  <c r="O64" i="1"/>
  <c r="P64" i="1" s="1"/>
  <c r="R56" i="1"/>
  <c r="S56" i="1" s="1"/>
  <c r="T56" i="1" s="1"/>
  <c r="U56" i="1" s="1"/>
  <c r="V56" i="1" s="1"/>
  <c r="Q56" i="1"/>
  <c r="O48" i="1"/>
  <c r="P48" i="1" s="1"/>
  <c r="R40" i="1"/>
  <c r="R32" i="1"/>
  <c r="Q32" i="1"/>
  <c r="R24" i="1"/>
  <c r="S24" i="1" s="1"/>
  <c r="T24" i="1" s="1"/>
  <c r="U24" i="1" s="1"/>
  <c r="V24" i="1" s="1"/>
  <c r="Q24" i="1"/>
  <c r="R16" i="1"/>
  <c r="Q16" i="1"/>
  <c r="R8" i="1"/>
  <c r="S8" i="1" s="1"/>
  <c r="T8" i="1" s="1"/>
  <c r="U8" i="1" s="1"/>
  <c r="V8" i="1" s="1"/>
  <c r="Q328" i="1"/>
  <c r="Q200" i="1"/>
  <c r="Q72" i="1"/>
  <c r="R96" i="1"/>
  <c r="Q359" i="1"/>
  <c r="R359" i="1"/>
  <c r="R302" i="1"/>
  <c r="S302" i="1" s="1"/>
  <c r="T302" i="1" s="1"/>
  <c r="U302" i="1" s="1"/>
  <c r="V302" i="1" s="1"/>
  <c r="Q302" i="1"/>
  <c r="Q254" i="1"/>
  <c r="R254" i="1"/>
  <c r="R198" i="1"/>
  <c r="Q198" i="1"/>
  <c r="O150" i="1"/>
  <c r="P150" i="1" s="1"/>
  <c r="R102" i="1"/>
  <c r="Q102" i="1"/>
  <c r="R54" i="1"/>
  <c r="Q54" i="1"/>
  <c r="R14" i="1"/>
  <c r="S14" i="1" s="1"/>
  <c r="T14" i="1" s="1"/>
  <c r="U14" i="1" s="1"/>
  <c r="V14" i="1" s="1"/>
  <c r="Q14" i="1"/>
  <c r="O357" i="1"/>
  <c r="P357" i="1" s="1"/>
  <c r="O277" i="1"/>
  <c r="P277" i="1" s="1"/>
  <c r="O245" i="1"/>
  <c r="P245" i="1" s="1"/>
  <c r="O229" i="1"/>
  <c r="P229" i="1" s="1"/>
  <c r="O213" i="1"/>
  <c r="P213" i="1" s="1"/>
  <c r="O197" i="1"/>
  <c r="P197" i="1" s="1"/>
  <c r="O181" i="1"/>
  <c r="P181" i="1" s="1"/>
  <c r="O165" i="1"/>
  <c r="P165" i="1" s="1"/>
  <c r="O149" i="1"/>
  <c r="P149" i="1" s="1"/>
  <c r="O133" i="1"/>
  <c r="P133" i="1" s="1"/>
  <c r="O117" i="1"/>
  <c r="P117" i="1" s="1"/>
  <c r="O101" i="1"/>
  <c r="P101" i="1" s="1"/>
  <c r="O85" i="1"/>
  <c r="P85" i="1" s="1"/>
  <c r="O69" i="1"/>
  <c r="P69" i="1" s="1"/>
  <c r="O53" i="1"/>
  <c r="P53" i="1" s="1"/>
  <c r="O37" i="1"/>
  <c r="P37" i="1" s="1"/>
  <c r="O29" i="1"/>
  <c r="P29" i="1" s="1"/>
  <c r="Q21" i="1"/>
  <c r="R21" i="1"/>
  <c r="O13" i="1"/>
  <c r="P13" i="1" s="1"/>
  <c r="Q231" i="1"/>
  <c r="R231" i="1"/>
  <c r="S231" i="1" s="1"/>
  <c r="T231" i="1" s="1"/>
  <c r="U231" i="1" s="1"/>
  <c r="V231" i="1" s="1"/>
  <c r="O151" i="1"/>
  <c r="P151" i="1" s="1"/>
  <c r="R71" i="1"/>
  <c r="Q71" i="1"/>
  <c r="R298" i="1"/>
  <c r="Q298" i="1"/>
  <c r="R326" i="1"/>
  <c r="Q326" i="1"/>
  <c r="R278" i="1"/>
  <c r="Q278" i="1"/>
  <c r="R230" i="1"/>
  <c r="S230" i="1" s="1"/>
  <c r="T230" i="1" s="1"/>
  <c r="U230" i="1" s="1"/>
  <c r="V230" i="1" s="1"/>
  <c r="Q230" i="1"/>
  <c r="R182" i="1"/>
  <c r="Q182" i="1"/>
  <c r="O142" i="1"/>
  <c r="P142" i="1" s="1"/>
  <c r="R94" i="1"/>
  <c r="S94" i="1" s="1"/>
  <c r="T94" i="1" s="1"/>
  <c r="U94" i="1" s="1"/>
  <c r="V94" i="1" s="1"/>
  <c r="Q94" i="1"/>
  <c r="R46" i="1"/>
  <c r="Q46" i="1"/>
  <c r="O341" i="1"/>
  <c r="P341" i="1" s="1"/>
  <c r="O364" i="1"/>
  <c r="P364" i="1" s="1"/>
  <c r="O340" i="1"/>
  <c r="P340" i="1" s="1"/>
  <c r="O316" i="1"/>
  <c r="P316" i="1" s="1"/>
  <c r="O292" i="1"/>
  <c r="P292" i="1" s="1"/>
  <c r="O284" i="1"/>
  <c r="P284" i="1" s="1"/>
  <c r="O276" i="1"/>
  <c r="P276" i="1" s="1"/>
  <c r="O268" i="1"/>
  <c r="P268" i="1" s="1"/>
  <c r="O260" i="1"/>
  <c r="P260" i="1" s="1"/>
  <c r="O252" i="1"/>
  <c r="P252" i="1" s="1"/>
  <c r="O244" i="1"/>
  <c r="P244" i="1" s="1"/>
  <c r="O236" i="1"/>
  <c r="P236" i="1" s="1"/>
  <c r="O228" i="1"/>
  <c r="P228" i="1" s="1"/>
  <c r="O220" i="1"/>
  <c r="P220" i="1" s="1"/>
  <c r="O212" i="1"/>
  <c r="P212" i="1" s="1"/>
  <c r="O204" i="1"/>
  <c r="P204" i="1" s="1"/>
  <c r="O196" i="1"/>
  <c r="P196" i="1" s="1"/>
  <c r="O188" i="1"/>
  <c r="P188" i="1" s="1"/>
  <c r="O180" i="1"/>
  <c r="P180" i="1" s="1"/>
  <c r="O172" i="1"/>
  <c r="P172" i="1" s="1"/>
  <c r="O164" i="1"/>
  <c r="P164" i="1" s="1"/>
  <c r="O156" i="1"/>
  <c r="P156" i="1" s="1"/>
  <c r="O148" i="1"/>
  <c r="P148" i="1" s="1"/>
  <c r="O140" i="1"/>
  <c r="P140" i="1" s="1"/>
  <c r="O132" i="1"/>
  <c r="P132" i="1" s="1"/>
  <c r="O20" i="1"/>
  <c r="P20" i="1" s="1"/>
  <c r="Q264" i="1"/>
  <c r="Q136" i="1"/>
  <c r="Q8" i="1"/>
  <c r="Q343" i="1"/>
  <c r="R343" i="1"/>
  <c r="Q199" i="1"/>
  <c r="R199" i="1"/>
  <c r="R55" i="1"/>
  <c r="S55" i="1" s="1"/>
  <c r="T55" i="1" s="1"/>
  <c r="U55" i="1" s="1"/>
  <c r="V55" i="1" s="1"/>
  <c r="Q55" i="1"/>
  <c r="R342" i="1"/>
  <c r="Q342" i="1"/>
  <c r="Q286" i="1"/>
  <c r="R286" i="1"/>
  <c r="R238" i="1"/>
  <c r="S238" i="1" s="1"/>
  <c r="T238" i="1" s="1"/>
  <c r="U238" i="1" s="1"/>
  <c r="V238" i="1" s="1"/>
  <c r="Q238" i="1"/>
  <c r="Q190" i="1"/>
  <c r="R190" i="1"/>
  <c r="R134" i="1"/>
  <c r="S134" i="1" s="1"/>
  <c r="T134" i="1" s="1"/>
  <c r="U134" i="1" s="1"/>
  <c r="V134" i="1" s="1"/>
  <c r="Q134" i="1"/>
  <c r="R86" i="1"/>
  <c r="Q86" i="1"/>
  <c r="R22" i="1"/>
  <c r="Q22" i="1"/>
  <c r="O325" i="1"/>
  <c r="P325" i="1" s="1"/>
  <c r="O293" i="1"/>
  <c r="P293" i="1" s="1"/>
  <c r="O356" i="1"/>
  <c r="P356" i="1" s="1"/>
  <c r="O332" i="1"/>
  <c r="P332" i="1" s="1"/>
  <c r="O300" i="1"/>
  <c r="P300" i="1" s="1"/>
  <c r="O363" i="1"/>
  <c r="P363" i="1" s="1"/>
  <c r="R347" i="1"/>
  <c r="Q347" i="1"/>
  <c r="R331" i="1"/>
  <c r="S331" i="1" s="1"/>
  <c r="T331" i="1" s="1"/>
  <c r="U331" i="1" s="1"/>
  <c r="V331" i="1" s="1"/>
  <c r="Q331" i="1"/>
  <c r="O323" i="1"/>
  <c r="P323" i="1" s="1"/>
  <c r="O315" i="1"/>
  <c r="P315" i="1" s="1"/>
  <c r="R307" i="1"/>
  <c r="Q307" i="1"/>
  <c r="O299" i="1"/>
  <c r="P299" i="1" s="1"/>
  <c r="R291" i="1"/>
  <c r="Q291" i="1"/>
  <c r="R283" i="1"/>
  <c r="Q283" i="1"/>
  <c r="R275" i="1"/>
  <c r="S275" i="1" s="1"/>
  <c r="T275" i="1" s="1"/>
  <c r="U275" i="1" s="1"/>
  <c r="V275" i="1" s="1"/>
  <c r="Q275" i="1"/>
  <c r="R267" i="1"/>
  <c r="S267" i="1" s="1"/>
  <c r="T267" i="1" s="1"/>
  <c r="U267" i="1" s="1"/>
  <c r="V267" i="1" s="1"/>
  <c r="Q267" i="1"/>
  <c r="O259" i="1"/>
  <c r="P259" i="1" s="1"/>
  <c r="O251" i="1"/>
  <c r="P251" i="1" s="1"/>
  <c r="R243" i="1"/>
  <c r="S243" i="1" s="1"/>
  <c r="T243" i="1" s="1"/>
  <c r="U243" i="1" s="1"/>
  <c r="V243" i="1" s="1"/>
  <c r="Q243" i="1"/>
  <c r="R235" i="1"/>
  <c r="S235" i="1" s="1"/>
  <c r="T235" i="1" s="1"/>
  <c r="U235" i="1" s="1"/>
  <c r="V235" i="1" s="1"/>
  <c r="Q235" i="1"/>
  <c r="R227" i="1"/>
  <c r="Q227" i="1"/>
  <c r="R219" i="1"/>
  <c r="S219" i="1" s="1"/>
  <c r="T219" i="1" s="1"/>
  <c r="U219" i="1" s="1"/>
  <c r="V219" i="1" s="1"/>
  <c r="Q219" i="1"/>
  <c r="R211" i="1"/>
  <c r="Q211" i="1"/>
  <c r="R203" i="1"/>
  <c r="S203" i="1" s="1"/>
  <c r="T203" i="1" s="1"/>
  <c r="U203" i="1" s="1"/>
  <c r="V203" i="1" s="1"/>
  <c r="Q203" i="1"/>
  <c r="O195" i="1"/>
  <c r="P195" i="1" s="1"/>
  <c r="R187" i="1"/>
  <c r="Q187" i="1"/>
  <c r="R179" i="1"/>
  <c r="Q179" i="1"/>
  <c r="R171" i="1"/>
  <c r="S171" i="1" s="1"/>
  <c r="T171" i="1" s="1"/>
  <c r="U171" i="1" s="1"/>
  <c r="V171" i="1" s="1"/>
  <c r="Q171" i="1"/>
  <c r="R163" i="1"/>
  <c r="S163" i="1" s="1"/>
  <c r="T163" i="1" s="1"/>
  <c r="U163" i="1" s="1"/>
  <c r="V163" i="1" s="1"/>
  <c r="Q163" i="1"/>
  <c r="R155" i="1"/>
  <c r="S155" i="1" s="1"/>
  <c r="T155" i="1" s="1"/>
  <c r="U155" i="1" s="1"/>
  <c r="V155" i="1" s="1"/>
  <c r="Q155" i="1"/>
  <c r="R147" i="1"/>
  <c r="Q147" i="1"/>
  <c r="R139" i="1"/>
  <c r="Q139" i="1"/>
  <c r="R131" i="1"/>
  <c r="Q131" i="1"/>
  <c r="O123" i="1"/>
  <c r="P123" i="1" s="1"/>
  <c r="R115" i="1"/>
  <c r="Q115" i="1"/>
  <c r="R107" i="1"/>
  <c r="Q107" i="1"/>
  <c r="R99" i="1"/>
  <c r="Q99" i="1"/>
  <c r="R91" i="1"/>
  <c r="Q91" i="1"/>
  <c r="Q83" i="1"/>
  <c r="R75" i="1"/>
  <c r="Q75" i="1"/>
  <c r="R67" i="1"/>
  <c r="Q67" i="1"/>
  <c r="R59" i="1"/>
  <c r="S59" i="1" s="1"/>
  <c r="T59" i="1" s="1"/>
  <c r="U59" i="1" s="1"/>
  <c r="V59" i="1" s="1"/>
  <c r="Q59" i="1"/>
  <c r="R51" i="1"/>
  <c r="Q51" i="1"/>
  <c r="R43" i="1"/>
  <c r="S43" i="1" s="1"/>
  <c r="T43" i="1" s="1"/>
  <c r="U43" i="1" s="1"/>
  <c r="V43" i="1" s="1"/>
  <c r="Q43" i="1"/>
  <c r="R35" i="1"/>
  <c r="S35" i="1" s="1"/>
  <c r="T35" i="1" s="1"/>
  <c r="U35" i="1" s="1"/>
  <c r="V35" i="1" s="1"/>
  <c r="Q35" i="1"/>
  <c r="O27" i="1"/>
  <c r="P27" i="1" s="1"/>
  <c r="Q19" i="1"/>
  <c r="R19" i="1"/>
  <c r="R11" i="1"/>
  <c r="S11" i="1" s="1"/>
  <c r="T11" i="1" s="1"/>
  <c r="U11" i="1" s="1"/>
  <c r="V11" i="1" s="1"/>
  <c r="Q11" i="1"/>
  <c r="O327" i="1"/>
  <c r="P327" i="1" s="1"/>
  <c r="O279" i="1"/>
  <c r="P279" i="1" s="1"/>
  <c r="Q167" i="1"/>
  <c r="R167" i="1"/>
  <c r="Q103" i="1"/>
  <c r="R103" i="1"/>
  <c r="S103" i="1" s="1"/>
  <c r="T103" i="1" s="1"/>
  <c r="U103" i="1" s="1"/>
  <c r="V103" i="1" s="1"/>
  <c r="O358" i="1"/>
  <c r="P358" i="1" s="1"/>
  <c r="O318" i="1"/>
  <c r="P318" i="1" s="1"/>
  <c r="R262" i="1"/>
  <c r="Q262" i="1"/>
  <c r="R174" i="1"/>
  <c r="S174" i="1" s="1"/>
  <c r="T174" i="1" s="1"/>
  <c r="U174" i="1" s="1"/>
  <c r="V174" i="1" s="1"/>
  <c r="Q174" i="1"/>
  <c r="Q126" i="1"/>
  <c r="R126" i="1"/>
  <c r="S126" i="1" s="1"/>
  <c r="T126" i="1" s="1"/>
  <c r="U126" i="1" s="1"/>
  <c r="V126" i="1" s="1"/>
  <c r="R70" i="1"/>
  <c r="Q70" i="1"/>
  <c r="O6" i="1"/>
  <c r="P6" i="1" s="1"/>
  <c r="O309" i="1"/>
  <c r="P309" i="1" s="1"/>
  <c r="O261" i="1"/>
  <c r="P261" i="1" s="1"/>
  <c r="O348" i="1"/>
  <c r="P348" i="1" s="1"/>
  <c r="O324" i="1"/>
  <c r="P324" i="1" s="1"/>
  <c r="O308" i="1"/>
  <c r="P308" i="1" s="1"/>
  <c r="R355" i="1"/>
  <c r="Q355" i="1"/>
  <c r="O339" i="1"/>
  <c r="P339" i="1" s="1"/>
  <c r="O370" i="1"/>
  <c r="P370" i="1" s="1"/>
  <c r="R362" i="1"/>
  <c r="Q362" i="1"/>
  <c r="O354" i="1"/>
  <c r="P354" i="1" s="1"/>
  <c r="O338" i="1"/>
  <c r="P338" i="1" s="1"/>
  <c r="R330" i="1"/>
  <c r="S330" i="1" s="1"/>
  <c r="T330" i="1" s="1"/>
  <c r="U330" i="1" s="1"/>
  <c r="V330" i="1" s="1"/>
  <c r="Q330" i="1"/>
  <c r="O322" i="1"/>
  <c r="P322" i="1" s="1"/>
  <c r="O314" i="1"/>
  <c r="P314" i="1" s="1"/>
  <c r="O306" i="1"/>
  <c r="P306" i="1" s="1"/>
  <c r="O290" i="1"/>
  <c r="P290" i="1" s="1"/>
  <c r="R282" i="1"/>
  <c r="S282" i="1" s="1"/>
  <c r="T282" i="1" s="1"/>
  <c r="U282" i="1" s="1"/>
  <c r="V282" i="1" s="1"/>
  <c r="Q282" i="1"/>
  <c r="O274" i="1"/>
  <c r="P274" i="1" s="1"/>
  <c r="R266" i="1"/>
  <c r="S266" i="1" s="1"/>
  <c r="T266" i="1" s="1"/>
  <c r="U266" i="1" s="1"/>
  <c r="V266" i="1" s="1"/>
  <c r="Q266" i="1"/>
  <c r="O258" i="1"/>
  <c r="P258" i="1" s="1"/>
  <c r="O250" i="1"/>
  <c r="P250" i="1" s="1"/>
  <c r="O242" i="1"/>
  <c r="P242" i="1" s="1"/>
  <c r="R234" i="1"/>
  <c r="Q234" i="1"/>
  <c r="O226" i="1"/>
  <c r="P226" i="1" s="1"/>
  <c r="O210" i="1"/>
  <c r="P210" i="1" s="1"/>
  <c r="R202" i="1"/>
  <c r="S202" i="1" s="1"/>
  <c r="T202" i="1" s="1"/>
  <c r="U202" i="1" s="1"/>
  <c r="V202" i="1" s="1"/>
  <c r="Q202" i="1"/>
  <c r="O194" i="1"/>
  <c r="P194" i="1" s="1"/>
  <c r="O186" i="1"/>
  <c r="P186" i="1" s="1"/>
  <c r="O178" i="1"/>
  <c r="P178" i="1" s="1"/>
  <c r="R170" i="1"/>
  <c r="Q170" i="1"/>
  <c r="O162" i="1"/>
  <c r="P162" i="1" s="1"/>
  <c r="R154" i="1"/>
  <c r="S154" i="1" s="1"/>
  <c r="T154" i="1" s="1"/>
  <c r="U154" i="1" s="1"/>
  <c r="V154" i="1" s="1"/>
  <c r="Q154" i="1"/>
  <c r="O146" i="1"/>
  <c r="P146" i="1" s="1"/>
  <c r="R138" i="1"/>
  <c r="Q138" i="1"/>
  <c r="O130" i="1"/>
  <c r="P130" i="1" s="1"/>
  <c r="O122" i="1"/>
  <c r="P122" i="1" s="1"/>
  <c r="O114" i="1"/>
  <c r="P114" i="1" s="1"/>
  <c r="Q106" i="1"/>
  <c r="R106" i="1"/>
  <c r="O98" i="1"/>
  <c r="P98" i="1" s="1"/>
  <c r="R90" i="1"/>
  <c r="S90" i="1" s="1"/>
  <c r="T90" i="1" s="1"/>
  <c r="U90" i="1" s="1"/>
  <c r="V90" i="1" s="1"/>
  <c r="Q90" i="1"/>
  <c r="O82" i="1"/>
  <c r="P82" i="1" s="1"/>
  <c r="R74" i="1"/>
  <c r="S74" i="1" s="1"/>
  <c r="T74" i="1" s="1"/>
  <c r="U74" i="1" s="1"/>
  <c r="V74" i="1" s="1"/>
  <c r="Q74" i="1"/>
  <c r="O66" i="1"/>
  <c r="P66" i="1" s="1"/>
  <c r="R58" i="1"/>
  <c r="Q58" i="1"/>
  <c r="O50" i="1"/>
  <c r="P50" i="1" s="1"/>
  <c r="R42" i="1"/>
  <c r="Q42" i="1"/>
  <c r="O34" i="1"/>
  <c r="P34" i="1" s="1"/>
  <c r="O18" i="1"/>
  <c r="P18" i="1" s="1"/>
  <c r="Q311" i="1"/>
  <c r="R311" i="1"/>
  <c r="S311" i="1" s="1"/>
  <c r="T311" i="1" s="1"/>
  <c r="U311" i="1" s="1"/>
  <c r="V311" i="1" s="1"/>
  <c r="Q215" i="1"/>
  <c r="R215" i="1"/>
  <c r="Q135" i="1"/>
  <c r="R135" i="1"/>
  <c r="S135" i="1" s="1"/>
  <c r="T135" i="1" s="1"/>
  <c r="U135" i="1" s="1"/>
  <c r="V135" i="1" s="1"/>
  <c r="R87" i="1"/>
  <c r="S87" i="1" s="1"/>
  <c r="T87" i="1" s="1"/>
  <c r="U87" i="1" s="1"/>
  <c r="V87" i="1" s="1"/>
  <c r="Q87" i="1"/>
  <c r="R31" i="1"/>
  <c r="Q31" i="1"/>
  <c r="R366" i="1"/>
  <c r="S366" i="1" s="1"/>
  <c r="T366" i="1" s="1"/>
  <c r="U366" i="1" s="1"/>
  <c r="V366" i="1" s="1"/>
  <c r="Q366" i="1"/>
  <c r="R310" i="1"/>
  <c r="Q310" i="1"/>
  <c r="O270" i="1"/>
  <c r="P270" i="1" s="1"/>
  <c r="R214" i="1"/>
  <c r="Q214" i="1"/>
  <c r="R166" i="1"/>
  <c r="S166" i="1" s="1"/>
  <c r="T166" i="1" s="1"/>
  <c r="U166" i="1" s="1"/>
  <c r="V166" i="1" s="1"/>
  <c r="Q166" i="1"/>
  <c r="R118" i="1"/>
  <c r="Q118" i="1"/>
  <c r="R78" i="1"/>
  <c r="Q78" i="1"/>
  <c r="R38" i="1"/>
  <c r="Q38" i="1"/>
  <c r="O369" i="1"/>
  <c r="P369" i="1" s="1"/>
  <c r="O361" i="1"/>
  <c r="P361" i="1" s="1"/>
  <c r="O353" i="1"/>
  <c r="P353" i="1" s="1"/>
  <c r="O345" i="1"/>
  <c r="P345" i="1" s="1"/>
  <c r="O337" i="1"/>
  <c r="P337" i="1" s="1"/>
  <c r="O329" i="1"/>
  <c r="P329" i="1" s="1"/>
  <c r="O321" i="1"/>
  <c r="P321" i="1" s="1"/>
  <c r="O313" i="1"/>
  <c r="P313" i="1" s="1"/>
  <c r="O305" i="1"/>
  <c r="P305" i="1" s="1"/>
  <c r="O297" i="1"/>
  <c r="P297" i="1" s="1"/>
  <c r="O289" i="1"/>
  <c r="P289" i="1" s="1"/>
  <c r="O281" i="1"/>
  <c r="P281" i="1" s="1"/>
  <c r="O273" i="1"/>
  <c r="P273" i="1" s="1"/>
  <c r="O265" i="1"/>
  <c r="P265" i="1" s="1"/>
  <c r="O257" i="1"/>
  <c r="P257" i="1" s="1"/>
  <c r="O249" i="1"/>
  <c r="P249" i="1" s="1"/>
  <c r="O241" i="1"/>
  <c r="P241" i="1" s="1"/>
  <c r="O233" i="1"/>
  <c r="P233" i="1" s="1"/>
  <c r="O225" i="1"/>
  <c r="P225" i="1" s="1"/>
  <c r="O217" i="1"/>
  <c r="P217" i="1" s="1"/>
  <c r="O209" i="1"/>
  <c r="P209" i="1" s="1"/>
  <c r="O201" i="1"/>
  <c r="P201" i="1" s="1"/>
  <c r="O193" i="1"/>
  <c r="P193" i="1" s="1"/>
  <c r="O185" i="1"/>
  <c r="P185" i="1" s="1"/>
  <c r="O177" i="1"/>
  <c r="P177" i="1" s="1"/>
  <c r="O169" i="1"/>
  <c r="P169" i="1" s="1"/>
  <c r="O161" i="1"/>
  <c r="P161" i="1" s="1"/>
  <c r="O153" i="1"/>
  <c r="P153" i="1" s="1"/>
  <c r="O145" i="1"/>
  <c r="P145" i="1" s="1"/>
  <c r="O137" i="1"/>
  <c r="P137" i="1" s="1"/>
  <c r="O129" i="1"/>
  <c r="P129" i="1" s="1"/>
  <c r="O121" i="1"/>
  <c r="P121" i="1" s="1"/>
  <c r="O113" i="1"/>
  <c r="P113" i="1" s="1"/>
  <c r="O25" i="1"/>
  <c r="P25" i="1" s="1"/>
  <c r="Q239" i="1"/>
  <c r="R239" i="1"/>
  <c r="Q175" i="1"/>
  <c r="R175" i="1"/>
  <c r="Q111" i="1"/>
  <c r="R111" i="1"/>
  <c r="R47" i="1"/>
  <c r="S47" i="1" s="1"/>
  <c r="T47" i="1" s="1"/>
  <c r="U47" i="1" s="1"/>
  <c r="V47" i="1" s="1"/>
  <c r="Q47" i="1"/>
  <c r="O23" i="1"/>
  <c r="P23" i="1" s="1"/>
  <c r="O15" i="1"/>
  <c r="P15" i="1" s="1"/>
  <c r="O7" i="1"/>
  <c r="P7" i="1" s="1"/>
  <c r="S78" i="1"/>
  <c r="T78" i="1" s="1"/>
  <c r="U78" i="1" s="1"/>
  <c r="V78" i="1" s="1"/>
  <c r="O124" i="1"/>
  <c r="P124" i="1" s="1"/>
  <c r="O116" i="1"/>
  <c r="P116" i="1" s="1"/>
  <c r="O108" i="1"/>
  <c r="P108" i="1" s="1"/>
  <c r="O100" i="1"/>
  <c r="P100" i="1" s="1"/>
  <c r="O92" i="1"/>
  <c r="P92" i="1" s="1"/>
  <c r="O84" i="1"/>
  <c r="P84" i="1" s="1"/>
  <c r="O76" i="1"/>
  <c r="P76" i="1" s="1"/>
  <c r="O68" i="1"/>
  <c r="P68" i="1" s="1"/>
  <c r="O60" i="1"/>
  <c r="P60" i="1" s="1"/>
  <c r="O52" i="1"/>
  <c r="P52" i="1" s="1"/>
  <c r="O44" i="1"/>
  <c r="P44" i="1" s="1"/>
  <c r="O36" i="1"/>
  <c r="P36" i="1" s="1"/>
  <c r="O12" i="1"/>
  <c r="P12" i="1" s="1"/>
  <c r="O26" i="1"/>
  <c r="P26" i="1" s="1"/>
  <c r="O10" i="1"/>
  <c r="P10" i="1" s="1"/>
  <c r="S21" i="1"/>
  <c r="T21" i="1" s="1"/>
  <c r="U21" i="1" s="1"/>
  <c r="V21" i="1" s="1"/>
  <c r="S61" i="1"/>
  <c r="T61" i="1" s="1"/>
  <c r="U61" i="1" s="1"/>
  <c r="V61" i="1" s="1"/>
  <c r="S77" i="1"/>
  <c r="T77" i="1" s="1"/>
  <c r="U77" i="1" s="1"/>
  <c r="V77" i="1" s="1"/>
  <c r="S93" i="1"/>
  <c r="T93" i="1" s="1"/>
  <c r="U93" i="1" s="1"/>
  <c r="V93" i="1" s="1"/>
  <c r="S125" i="1"/>
  <c r="T125" i="1" s="1"/>
  <c r="U125" i="1" s="1"/>
  <c r="V125" i="1" s="1"/>
  <c r="S157" i="1"/>
  <c r="T157" i="1" s="1"/>
  <c r="U157" i="1" s="1"/>
  <c r="V157" i="1" s="1"/>
  <c r="S22" i="1"/>
  <c r="T22" i="1" s="1"/>
  <c r="U22" i="1" s="1"/>
  <c r="V22" i="1" s="1"/>
  <c r="S38" i="1"/>
  <c r="T38" i="1" s="1"/>
  <c r="U38" i="1" s="1"/>
  <c r="V38" i="1" s="1"/>
  <c r="S46" i="1"/>
  <c r="T46" i="1" s="1"/>
  <c r="U46" i="1" s="1"/>
  <c r="V46" i="1" s="1"/>
  <c r="S54" i="1"/>
  <c r="T54" i="1" s="1"/>
  <c r="U54" i="1" s="1"/>
  <c r="V54" i="1" s="1"/>
  <c r="S70" i="1"/>
  <c r="T70" i="1" s="1"/>
  <c r="U70" i="1" s="1"/>
  <c r="V70" i="1" s="1"/>
  <c r="S16" i="1"/>
  <c r="T16" i="1" s="1"/>
  <c r="U16" i="1" s="1"/>
  <c r="V16" i="1" s="1"/>
  <c r="S32" i="1"/>
  <c r="T32" i="1" s="1"/>
  <c r="U32" i="1" s="1"/>
  <c r="V32" i="1" s="1"/>
  <c r="S40" i="1"/>
  <c r="T40" i="1" s="1"/>
  <c r="U40" i="1" s="1"/>
  <c r="V40" i="1" s="1"/>
  <c r="S72" i="1"/>
  <c r="T72" i="1" s="1"/>
  <c r="U72" i="1" s="1"/>
  <c r="V72" i="1" s="1"/>
  <c r="S96" i="1"/>
  <c r="T96" i="1" s="1"/>
  <c r="U96" i="1" s="1"/>
  <c r="V96" i="1" s="1"/>
  <c r="S9" i="1"/>
  <c r="T9" i="1" s="1"/>
  <c r="U9" i="1" s="1"/>
  <c r="V9" i="1" s="1"/>
  <c r="S79" i="1"/>
  <c r="T79" i="1" s="1"/>
  <c r="U79" i="1" s="1"/>
  <c r="V79" i="1" s="1"/>
  <c r="S106" i="1"/>
  <c r="T106" i="1" s="1"/>
  <c r="U106" i="1" s="1"/>
  <c r="V106" i="1" s="1"/>
  <c r="S118" i="1"/>
  <c r="T118" i="1" s="1"/>
  <c r="U118" i="1" s="1"/>
  <c r="V118" i="1" s="1"/>
  <c r="S128" i="1"/>
  <c r="T128" i="1" s="1"/>
  <c r="U128" i="1" s="1"/>
  <c r="V128" i="1" s="1"/>
  <c r="S189" i="1"/>
  <c r="T189" i="1" s="1"/>
  <c r="U189" i="1" s="1"/>
  <c r="V189" i="1" s="1"/>
  <c r="S221" i="1"/>
  <c r="T221" i="1" s="1"/>
  <c r="U221" i="1" s="1"/>
  <c r="V221" i="1" s="1"/>
  <c r="S253" i="1"/>
  <c r="T253" i="1" s="1"/>
  <c r="U253" i="1" s="1"/>
  <c r="V253" i="1" s="1"/>
  <c r="S285" i="1"/>
  <c r="T285" i="1" s="1"/>
  <c r="U285" i="1" s="1"/>
  <c r="V285" i="1" s="1"/>
  <c r="S301" i="1"/>
  <c r="T301" i="1" s="1"/>
  <c r="U301" i="1" s="1"/>
  <c r="V301" i="1" s="1"/>
  <c r="S317" i="1"/>
  <c r="T317" i="1" s="1"/>
  <c r="U317" i="1" s="1"/>
  <c r="V317" i="1" s="1"/>
  <c r="S365" i="1"/>
  <c r="T365" i="1" s="1"/>
  <c r="U365" i="1" s="1"/>
  <c r="V365" i="1" s="1"/>
  <c r="S19" i="1"/>
  <c r="T19" i="1" s="1"/>
  <c r="U19" i="1" s="1"/>
  <c r="V19" i="1" s="1"/>
  <c r="S51" i="1"/>
  <c r="T51" i="1" s="1"/>
  <c r="U51" i="1" s="1"/>
  <c r="V51" i="1" s="1"/>
  <c r="S67" i="1"/>
  <c r="T67" i="1" s="1"/>
  <c r="U67" i="1" s="1"/>
  <c r="V67" i="1" s="1"/>
  <c r="S107" i="1"/>
  <c r="T107" i="1" s="1"/>
  <c r="U107" i="1" s="1"/>
  <c r="V107" i="1" s="1"/>
  <c r="S119" i="1"/>
  <c r="T119" i="1" s="1"/>
  <c r="U119" i="1" s="1"/>
  <c r="V119" i="1" s="1"/>
  <c r="S138" i="1"/>
  <c r="T138" i="1" s="1"/>
  <c r="U138" i="1" s="1"/>
  <c r="V138" i="1" s="1"/>
  <c r="S147" i="1"/>
  <c r="T147" i="1" s="1"/>
  <c r="U147" i="1" s="1"/>
  <c r="V147" i="1" s="1"/>
  <c r="S182" i="1"/>
  <c r="T182" i="1" s="1"/>
  <c r="U182" i="1" s="1"/>
  <c r="V182" i="1" s="1"/>
  <c r="S190" i="1"/>
  <c r="T190" i="1" s="1"/>
  <c r="U190" i="1" s="1"/>
  <c r="V190" i="1" s="1"/>
  <c r="S198" i="1"/>
  <c r="T198" i="1" s="1"/>
  <c r="U198" i="1" s="1"/>
  <c r="V198" i="1" s="1"/>
  <c r="S214" i="1"/>
  <c r="T214" i="1" s="1"/>
  <c r="U214" i="1" s="1"/>
  <c r="V214" i="1" s="1"/>
  <c r="S246" i="1"/>
  <c r="T246" i="1" s="1"/>
  <c r="U246" i="1" s="1"/>
  <c r="V246" i="1" s="1"/>
  <c r="S254" i="1"/>
  <c r="T254" i="1" s="1"/>
  <c r="U254" i="1" s="1"/>
  <c r="V254" i="1" s="1"/>
  <c r="S262" i="1"/>
  <c r="T262" i="1" s="1"/>
  <c r="U262" i="1" s="1"/>
  <c r="V262" i="1" s="1"/>
  <c r="S278" i="1"/>
  <c r="T278" i="1" s="1"/>
  <c r="U278" i="1" s="1"/>
  <c r="V278" i="1" s="1"/>
  <c r="S286" i="1"/>
  <c r="T286" i="1" s="1"/>
  <c r="U286" i="1" s="1"/>
  <c r="V286" i="1" s="1"/>
  <c r="S294" i="1"/>
  <c r="T294" i="1" s="1"/>
  <c r="U294" i="1" s="1"/>
  <c r="V294" i="1" s="1"/>
  <c r="S310" i="1"/>
  <c r="T310" i="1" s="1"/>
  <c r="U310" i="1" s="1"/>
  <c r="V310" i="1" s="1"/>
  <c r="S326" i="1"/>
  <c r="T326" i="1" s="1"/>
  <c r="U326" i="1" s="1"/>
  <c r="V326" i="1" s="1"/>
  <c r="S342" i="1"/>
  <c r="T342" i="1" s="1"/>
  <c r="U342" i="1" s="1"/>
  <c r="V342" i="1" s="1"/>
  <c r="S350" i="1"/>
  <c r="T350" i="1" s="1"/>
  <c r="U350" i="1" s="1"/>
  <c r="V350" i="1" s="1"/>
  <c r="S83" i="1"/>
  <c r="T83" i="1" s="1"/>
  <c r="U83" i="1" s="1"/>
  <c r="V83" i="1" s="1"/>
  <c r="S95" i="1"/>
  <c r="T95" i="1" s="1"/>
  <c r="U95" i="1" s="1"/>
  <c r="V95" i="1" s="1"/>
  <c r="S139" i="1"/>
  <c r="T139" i="1" s="1"/>
  <c r="U139" i="1" s="1"/>
  <c r="V139" i="1" s="1"/>
  <c r="S167" i="1"/>
  <c r="T167" i="1" s="1"/>
  <c r="U167" i="1" s="1"/>
  <c r="V167" i="1" s="1"/>
  <c r="S175" i="1"/>
  <c r="T175" i="1" s="1"/>
  <c r="U175" i="1" s="1"/>
  <c r="V175" i="1" s="1"/>
  <c r="S183" i="1"/>
  <c r="T183" i="1" s="1"/>
  <c r="U183" i="1" s="1"/>
  <c r="V183" i="1" s="1"/>
  <c r="S191" i="1"/>
  <c r="T191" i="1" s="1"/>
  <c r="U191" i="1" s="1"/>
  <c r="V191" i="1" s="1"/>
  <c r="S199" i="1"/>
  <c r="T199" i="1" s="1"/>
  <c r="U199" i="1" s="1"/>
  <c r="V199" i="1" s="1"/>
  <c r="S215" i="1"/>
  <c r="T215" i="1" s="1"/>
  <c r="U215" i="1" s="1"/>
  <c r="V215" i="1" s="1"/>
  <c r="S239" i="1"/>
  <c r="T239" i="1" s="1"/>
  <c r="U239" i="1" s="1"/>
  <c r="V239" i="1" s="1"/>
  <c r="S247" i="1"/>
  <c r="T247" i="1" s="1"/>
  <c r="U247" i="1" s="1"/>
  <c r="V247" i="1" s="1"/>
  <c r="S255" i="1"/>
  <c r="T255" i="1" s="1"/>
  <c r="U255" i="1" s="1"/>
  <c r="V255" i="1" s="1"/>
  <c r="S263" i="1"/>
  <c r="T263" i="1" s="1"/>
  <c r="U263" i="1" s="1"/>
  <c r="V263" i="1" s="1"/>
  <c r="S271" i="1"/>
  <c r="T271" i="1" s="1"/>
  <c r="U271" i="1" s="1"/>
  <c r="V271" i="1" s="1"/>
  <c r="S303" i="1"/>
  <c r="T303" i="1" s="1"/>
  <c r="U303" i="1" s="1"/>
  <c r="V303" i="1" s="1"/>
  <c r="S319" i="1"/>
  <c r="T319" i="1" s="1"/>
  <c r="U319" i="1" s="1"/>
  <c r="V319" i="1" s="1"/>
  <c r="S335" i="1"/>
  <c r="T335" i="1" s="1"/>
  <c r="U335" i="1" s="1"/>
  <c r="V335" i="1" s="1"/>
  <c r="S343" i="1"/>
  <c r="T343" i="1" s="1"/>
  <c r="U343" i="1" s="1"/>
  <c r="V343" i="1" s="1"/>
  <c r="S351" i="1"/>
  <c r="T351" i="1" s="1"/>
  <c r="U351" i="1" s="1"/>
  <c r="V351" i="1" s="1"/>
  <c r="S359" i="1"/>
  <c r="T359" i="1" s="1"/>
  <c r="U359" i="1" s="1"/>
  <c r="V359" i="1" s="1"/>
  <c r="S367" i="1"/>
  <c r="T367" i="1" s="1"/>
  <c r="U367" i="1" s="1"/>
  <c r="V367" i="1" s="1"/>
  <c r="S28" i="1"/>
  <c r="T28" i="1" s="1"/>
  <c r="U28" i="1" s="1"/>
  <c r="V28" i="1" s="1"/>
  <c r="S102" i="1"/>
  <c r="T102" i="1" s="1"/>
  <c r="U102" i="1" s="1"/>
  <c r="V102" i="1" s="1"/>
  <c r="S115" i="1"/>
  <c r="T115" i="1" s="1"/>
  <c r="U115" i="1" s="1"/>
  <c r="V115" i="1" s="1"/>
  <c r="S179" i="1"/>
  <c r="T179" i="1" s="1"/>
  <c r="U179" i="1" s="1"/>
  <c r="V179" i="1" s="1"/>
  <c r="S187" i="1"/>
  <c r="T187" i="1" s="1"/>
  <c r="U187" i="1" s="1"/>
  <c r="V187" i="1" s="1"/>
  <c r="S211" i="1"/>
  <c r="T211" i="1" s="1"/>
  <c r="U211" i="1" s="1"/>
  <c r="V211" i="1" s="1"/>
  <c r="S227" i="1"/>
  <c r="T227" i="1" s="1"/>
  <c r="U227" i="1" s="1"/>
  <c r="V227" i="1" s="1"/>
  <c r="S283" i="1"/>
  <c r="T283" i="1" s="1"/>
  <c r="U283" i="1" s="1"/>
  <c r="V283" i="1" s="1"/>
  <c r="S291" i="1"/>
  <c r="T291" i="1" s="1"/>
  <c r="U291" i="1" s="1"/>
  <c r="V291" i="1" s="1"/>
  <c r="S307" i="1"/>
  <c r="T307" i="1" s="1"/>
  <c r="U307" i="1" s="1"/>
  <c r="V307" i="1" s="1"/>
  <c r="S347" i="1"/>
  <c r="T347" i="1" s="1"/>
  <c r="U347" i="1" s="1"/>
  <c r="V347" i="1" s="1"/>
  <c r="S355" i="1"/>
  <c r="T355" i="1" s="1"/>
  <c r="U355" i="1" s="1"/>
  <c r="V355" i="1" s="1"/>
  <c r="S58" i="1"/>
  <c r="T58" i="1" s="1"/>
  <c r="U58" i="1" s="1"/>
  <c r="V58" i="1" s="1"/>
  <c r="S86" i="1"/>
  <c r="T86" i="1" s="1"/>
  <c r="U86" i="1" s="1"/>
  <c r="V86" i="1" s="1"/>
  <c r="S111" i="1"/>
  <c r="T111" i="1" s="1"/>
  <c r="U111" i="1" s="1"/>
  <c r="V111" i="1" s="1"/>
  <c r="S152" i="1"/>
  <c r="T152" i="1" s="1"/>
  <c r="U152" i="1" s="1"/>
  <c r="V152" i="1" s="1"/>
  <c r="S170" i="1"/>
  <c r="T170" i="1" s="1"/>
  <c r="U170" i="1" s="1"/>
  <c r="V170" i="1" s="1"/>
  <c r="S218" i="1"/>
  <c r="T218" i="1" s="1"/>
  <c r="U218" i="1" s="1"/>
  <c r="V218" i="1" s="1"/>
  <c r="S234" i="1"/>
  <c r="T234" i="1" s="1"/>
  <c r="U234" i="1" s="1"/>
  <c r="V234" i="1" s="1"/>
  <c r="S298" i="1"/>
  <c r="T298" i="1" s="1"/>
  <c r="U298" i="1" s="1"/>
  <c r="V298" i="1" s="1"/>
  <c r="S346" i="1"/>
  <c r="T346" i="1" s="1"/>
  <c r="U346" i="1" s="1"/>
  <c r="V346" i="1" s="1"/>
  <c r="S362" i="1"/>
  <c r="T362" i="1" s="1"/>
  <c r="U362" i="1" s="1"/>
  <c r="V362" i="1" s="1"/>
  <c r="S31" i="1"/>
  <c r="T31" i="1" s="1"/>
  <c r="U31" i="1" s="1"/>
  <c r="V31" i="1" s="1"/>
  <c r="S91" i="1"/>
  <c r="T91" i="1" s="1"/>
  <c r="U91" i="1" s="1"/>
  <c r="V91" i="1" s="1"/>
  <c r="S136" i="1"/>
  <c r="T136" i="1" s="1"/>
  <c r="U136" i="1" s="1"/>
  <c r="V136" i="1" s="1"/>
  <c r="S39" i="1"/>
  <c r="T39" i="1" s="1"/>
  <c r="U39" i="1" s="1"/>
  <c r="V39" i="1" s="1"/>
  <c r="S71" i="1"/>
  <c r="T71" i="1" s="1"/>
  <c r="U71" i="1" s="1"/>
  <c r="V71" i="1" s="1"/>
  <c r="S159" i="1"/>
  <c r="T159" i="1" s="1"/>
  <c r="U159" i="1" s="1"/>
  <c r="V159" i="1" s="1"/>
  <c r="S176" i="1"/>
  <c r="T176" i="1" s="1"/>
  <c r="U176" i="1" s="1"/>
  <c r="V176" i="1" s="1"/>
  <c r="S208" i="1"/>
  <c r="T208" i="1" s="1"/>
  <c r="U208" i="1" s="1"/>
  <c r="V208" i="1" s="1"/>
  <c r="S224" i="1"/>
  <c r="T224" i="1" s="1"/>
  <c r="U224" i="1" s="1"/>
  <c r="V224" i="1" s="1"/>
  <c r="S240" i="1"/>
  <c r="T240" i="1" s="1"/>
  <c r="U240" i="1" s="1"/>
  <c r="V240" i="1" s="1"/>
  <c r="S256" i="1"/>
  <c r="T256" i="1" s="1"/>
  <c r="U256" i="1" s="1"/>
  <c r="V256" i="1" s="1"/>
  <c r="S272" i="1"/>
  <c r="T272" i="1" s="1"/>
  <c r="U272" i="1" s="1"/>
  <c r="V272" i="1" s="1"/>
  <c r="S304" i="1"/>
  <c r="T304" i="1" s="1"/>
  <c r="U304" i="1" s="1"/>
  <c r="V304" i="1" s="1"/>
  <c r="S336" i="1"/>
  <c r="T336" i="1" s="1"/>
  <c r="U336" i="1" s="1"/>
  <c r="V336" i="1" s="1"/>
  <c r="S368" i="1"/>
  <c r="T368" i="1" s="1"/>
  <c r="U368" i="1" s="1"/>
  <c r="V368" i="1" s="1"/>
  <c r="S42" i="1"/>
  <c r="T42" i="1" s="1"/>
  <c r="U42" i="1" s="1"/>
  <c r="V42" i="1" s="1"/>
  <c r="S99" i="1"/>
  <c r="T99" i="1" s="1"/>
  <c r="U99" i="1" s="1"/>
  <c r="V99" i="1" s="1"/>
  <c r="S110" i="1"/>
  <c r="T110" i="1" s="1"/>
  <c r="U110" i="1" s="1"/>
  <c r="V110" i="1" s="1"/>
  <c r="S131" i="1"/>
  <c r="T131" i="1" s="1"/>
  <c r="U131" i="1" s="1"/>
  <c r="V131" i="1" s="1"/>
  <c r="S168" i="1"/>
  <c r="T168" i="1" s="1"/>
  <c r="U168" i="1" s="1"/>
  <c r="V168" i="1" s="1"/>
  <c r="S184" i="1"/>
  <c r="T184" i="1" s="1"/>
  <c r="U184" i="1" s="1"/>
  <c r="V184" i="1" s="1"/>
  <c r="S200" i="1"/>
  <c r="T200" i="1" s="1"/>
  <c r="U200" i="1" s="1"/>
  <c r="V200" i="1" s="1"/>
  <c r="S248" i="1"/>
  <c r="T248" i="1" s="1"/>
  <c r="U248" i="1" s="1"/>
  <c r="V248" i="1" s="1"/>
  <c r="S264" i="1"/>
  <c r="T264" i="1" s="1"/>
  <c r="U264" i="1" s="1"/>
  <c r="V264" i="1" s="1"/>
  <c r="S280" i="1"/>
  <c r="T280" i="1" s="1"/>
  <c r="U280" i="1" s="1"/>
  <c r="V280" i="1" s="1"/>
  <c r="S312" i="1"/>
  <c r="T312" i="1" s="1"/>
  <c r="U312" i="1" s="1"/>
  <c r="V312" i="1" s="1"/>
  <c r="S328" i="1"/>
  <c r="T328" i="1" s="1"/>
  <c r="U328" i="1" s="1"/>
  <c r="V328" i="1" s="1"/>
  <c r="S75" i="1"/>
  <c r="T75" i="1" s="1"/>
  <c r="U75" i="1" s="1"/>
  <c r="V75" i="1" s="1"/>
  <c r="S127" i="1"/>
  <c r="T127" i="1" s="1"/>
  <c r="U127" i="1" s="1"/>
  <c r="V127" i="1" s="1"/>
  <c r="S143" i="1"/>
  <c r="T143" i="1" s="1"/>
  <c r="U143" i="1" s="1"/>
  <c r="V143" i="1" s="1"/>
  <c r="O105" i="1"/>
  <c r="P105" i="1" s="1"/>
  <c r="O97" i="1"/>
  <c r="P97" i="1" s="1"/>
  <c r="O89" i="1"/>
  <c r="P89" i="1" s="1"/>
  <c r="O81" i="1"/>
  <c r="P81" i="1" s="1"/>
  <c r="O73" i="1"/>
  <c r="P73" i="1" s="1"/>
  <c r="O65" i="1"/>
  <c r="P65" i="1" s="1"/>
  <c r="O57" i="1"/>
  <c r="P57" i="1" s="1"/>
  <c r="O49" i="1"/>
  <c r="P49" i="1" s="1"/>
  <c r="O41" i="1"/>
  <c r="P41" i="1" s="1"/>
  <c r="O33" i="1"/>
  <c r="P33" i="1" s="1"/>
  <c r="O17" i="1"/>
  <c r="P17" i="1" s="1"/>
  <c r="R60" i="1" l="1"/>
  <c r="S60" i="1" s="1"/>
  <c r="T60" i="1" s="1"/>
  <c r="U60" i="1" s="1"/>
  <c r="V60" i="1" s="1"/>
  <c r="Q60" i="1"/>
  <c r="Q137" i="1"/>
  <c r="R137" i="1"/>
  <c r="S137" i="1" s="1"/>
  <c r="T137" i="1" s="1"/>
  <c r="U137" i="1" s="1"/>
  <c r="V137" i="1" s="1"/>
  <c r="R309" i="1"/>
  <c r="S309" i="1" s="1"/>
  <c r="T309" i="1" s="1"/>
  <c r="U309" i="1" s="1"/>
  <c r="V309" i="1" s="1"/>
  <c r="Q309" i="1"/>
  <c r="Q156" i="1"/>
  <c r="R156" i="1"/>
  <c r="S156" i="1" s="1"/>
  <c r="T156" i="1" s="1"/>
  <c r="U156" i="1" s="1"/>
  <c r="V156" i="1" s="1"/>
  <c r="R100" i="1"/>
  <c r="S100" i="1" s="1"/>
  <c r="T100" i="1" s="1"/>
  <c r="U100" i="1" s="1"/>
  <c r="V100" i="1" s="1"/>
  <c r="Q100" i="1"/>
  <c r="Q177" i="1"/>
  <c r="R177" i="1"/>
  <c r="S177" i="1" s="1"/>
  <c r="T177" i="1" s="1"/>
  <c r="U177" i="1" s="1"/>
  <c r="V177" i="1" s="1"/>
  <c r="Q305" i="1"/>
  <c r="R305" i="1"/>
  <c r="S305" i="1" s="1"/>
  <c r="T305" i="1" s="1"/>
  <c r="U305" i="1" s="1"/>
  <c r="V305" i="1" s="1"/>
  <c r="R270" i="1"/>
  <c r="S270" i="1" s="1"/>
  <c r="T270" i="1" s="1"/>
  <c r="U270" i="1" s="1"/>
  <c r="V270" i="1" s="1"/>
  <c r="Q270" i="1"/>
  <c r="Q324" i="1"/>
  <c r="R324" i="1"/>
  <c r="S324" i="1" s="1"/>
  <c r="T324" i="1" s="1"/>
  <c r="U324" i="1" s="1"/>
  <c r="V324" i="1" s="1"/>
  <c r="R108" i="1"/>
  <c r="S108" i="1" s="1"/>
  <c r="T108" i="1" s="1"/>
  <c r="U108" i="1" s="1"/>
  <c r="V108" i="1" s="1"/>
  <c r="Q108" i="1"/>
  <c r="Q185" i="1"/>
  <c r="R185" i="1"/>
  <c r="S185" i="1" s="1"/>
  <c r="T185" i="1" s="1"/>
  <c r="U185" i="1" s="1"/>
  <c r="V185" i="1" s="1"/>
  <c r="Q313" i="1"/>
  <c r="R313" i="1"/>
  <c r="S313" i="1" s="1"/>
  <c r="T313" i="1" s="1"/>
  <c r="U313" i="1" s="1"/>
  <c r="V313" i="1" s="1"/>
  <c r="R178" i="1"/>
  <c r="S178" i="1" s="1"/>
  <c r="T178" i="1" s="1"/>
  <c r="U178" i="1" s="1"/>
  <c r="V178" i="1" s="1"/>
  <c r="Q178" i="1"/>
  <c r="Q279" i="1"/>
  <c r="R279" i="1"/>
  <c r="S279" i="1" s="1"/>
  <c r="T279" i="1" s="1"/>
  <c r="U279" i="1" s="1"/>
  <c r="V279" i="1" s="1"/>
  <c r="Q65" i="1"/>
  <c r="R65" i="1"/>
  <c r="S65" i="1" s="1"/>
  <c r="T65" i="1" s="1"/>
  <c r="U65" i="1" s="1"/>
  <c r="V65" i="1" s="1"/>
  <c r="R52" i="1"/>
  <c r="S52" i="1" s="1"/>
  <c r="T52" i="1" s="1"/>
  <c r="U52" i="1" s="1"/>
  <c r="V52" i="1" s="1"/>
  <c r="Q52" i="1"/>
  <c r="Q116" i="1"/>
  <c r="R116" i="1"/>
  <c r="S116" i="1" s="1"/>
  <c r="T116" i="1" s="1"/>
  <c r="U116" i="1" s="1"/>
  <c r="V116" i="1" s="1"/>
  <c r="Q129" i="1"/>
  <c r="R129" i="1"/>
  <c r="S129" i="1" s="1"/>
  <c r="T129" i="1" s="1"/>
  <c r="U129" i="1" s="1"/>
  <c r="V129" i="1" s="1"/>
  <c r="Q193" i="1"/>
  <c r="R193" i="1"/>
  <c r="S193" i="1" s="1"/>
  <c r="T193" i="1" s="1"/>
  <c r="U193" i="1" s="1"/>
  <c r="V193" i="1" s="1"/>
  <c r="Q257" i="1"/>
  <c r="R257" i="1"/>
  <c r="S257" i="1" s="1"/>
  <c r="T257" i="1" s="1"/>
  <c r="U257" i="1" s="1"/>
  <c r="V257" i="1" s="1"/>
  <c r="Q321" i="1"/>
  <c r="R321" i="1"/>
  <c r="S321" i="1" s="1"/>
  <c r="T321" i="1" s="1"/>
  <c r="U321" i="1" s="1"/>
  <c r="V321" i="1" s="1"/>
  <c r="R186" i="1"/>
  <c r="S186" i="1" s="1"/>
  <c r="T186" i="1" s="1"/>
  <c r="U186" i="1" s="1"/>
  <c r="V186" i="1" s="1"/>
  <c r="Q186" i="1"/>
  <c r="R274" i="1"/>
  <c r="S274" i="1" s="1"/>
  <c r="T274" i="1" s="1"/>
  <c r="U274" i="1" s="1"/>
  <c r="V274" i="1" s="1"/>
  <c r="Q274" i="1"/>
  <c r="R370" i="1"/>
  <c r="S370" i="1" s="1"/>
  <c r="T370" i="1" s="1"/>
  <c r="U370" i="1" s="1"/>
  <c r="V370" i="1" s="1"/>
  <c r="Q370" i="1"/>
  <c r="R261" i="1"/>
  <c r="S261" i="1" s="1"/>
  <c r="T261" i="1" s="1"/>
  <c r="U261" i="1" s="1"/>
  <c r="V261" i="1" s="1"/>
  <c r="Q261" i="1"/>
  <c r="R358" i="1"/>
  <c r="S358" i="1" s="1"/>
  <c r="T358" i="1" s="1"/>
  <c r="U358" i="1" s="1"/>
  <c r="V358" i="1" s="1"/>
  <c r="Q358" i="1"/>
  <c r="Q327" i="1"/>
  <c r="R327" i="1"/>
  <c r="S327" i="1" s="1"/>
  <c r="T327" i="1" s="1"/>
  <c r="U327" i="1" s="1"/>
  <c r="V327" i="1" s="1"/>
  <c r="R123" i="1"/>
  <c r="S123" i="1" s="1"/>
  <c r="T123" i="1" s="1"/>
  <c r="U123" i="1" s="1"/>
  <c r="V123" i="1" s="1"/>
  <c r="Q123" i="1"/>
  <c r="Q332" i="1"/>
  <c r="R332" i="1"/>
  <c r="S332" i="1" s="1"/>
  <c r="T332" i="1" s="1"/>
  <c r="U332" i="1" s="1"/>
  <c r="V332" i="1" s="1"/>
  <c r="Q148" i="1"/>
  <c r="R148" i="1"/>
  <c r="S148" i="1" s="1"/>
  <c r="T148" i="1" s="1"/>
  <c r="U148" i="1" s="1"/>
  <c r="V148" i="1" s="1"/>
  <c r="Q212" i="1"/>
  <c r="R212" i="1"/>
  <c r="S212" i="1" s="1"/>
  <c r="T212" i="1" s="1"/>
  <c r="U212" i="1" s="1"/>
  <c r="V212" i="1" s="1"/>
  <c r="Q276" i="1"/>
  <c r="R276" i="1"/>
  <c r="S276" i="1" s="1"/>
  <c r="T276" i="1" s="1"/>
  <c r="U276" i="1" s="1"/>
  <c r="V276" i="1" s="1"/>
  <c r="Q151" i="1"/>
  <c r="R151" i="1"/>
  <c r="S151" i="1" s="1"/>
  <c r="T151" i="1" s="1"/>
  <c r="U151" i="1" s="1"/>
  <c r="V151" i="1" s="1"/>
  <c r="R29" i="1"/>
  <c r="S29" i="1" s="1"/>
  <c r="T29" i="1" s="1"/>
  <c r="U29" i="1" s="1"/>
  <c r="V29" i="1" s="1"/>
  <c r="Q29" i="1"/>
  <c r="R149" i="1"/>
  <c r="S149" i="1" s="1"/>
  <c r="T149" i="1" s="1"/>
  <c r="U149" i="1" s="1"/>
  <c r="V149" i="1" s="1"/>
  <c r="Q149" i="1"/>
  <c r="R357" i="1"/>
  <c r="S357" i="1" s="1"/>
  <c r="T357" i="1" s="1"/>
  <c r="U357" i="1" s="1"/>
  <c r="V357" i="1" s="1"/>
  <c r="Q357" i="1"/>
  <c r="R48" i="1"/>
  <c r="S48" i="1" s="1"/>
  <c r="T48" i="1" s="1"/>
  <c r="U48" i="1" s="1"/>
  <c r="V48" i="1" s="1"/>
  <c r="Q48" i="1"/>
  <c r="R288" i="1"/>
  <c r="S288" i="1" s="1"/>
  <c r="T288" i="1" s="1"/>
  <c r="U288" i="1" s="1"/>
  <c r="V288" i="1" s="1"/>
  <c r="Q288" i="1"/>
  <c r="R30" i="1"/>
  <c r="S30" i="1" s="1"/>
  <c r="T30" i="1" s="1"/>
  <c r="U30" i="1" s="1"/>
  <c r="V30" i="1" s="1"/>
  <c r="Q30" i="1"/>
  <c r="R141" i="1"/>
  <c r="S141" i="1" s="1"/>
  <c r="T141" i="1" s="1"/>
  <c r="U141" i="1" s="1"/>
  <c r="V141" i="1" s="1"/>
  <c r="Q141" i="1"/>
  <c r="R194" i="1"/>
  <c r="S194" i="1" s="1"/>
  <c r="T194" i="1" s="1"/>
  <c r="U194" i="1" s="1"/>
  <c r="V194" i="1" s="1"/>
  <c r="Q194" i="1"/>
  <c r="Q284" i="1"/>
  <c r="R284" i="1"/>
  <c r="S284" i="1" s="1"/>
  <c r="T284" i="1" s="1"/>
  <c r="U284" i="1" s="1"/>
  <c r="V284" i="1" s="1"/>
  <c r="R37" i="1"/>
  <c r="S37" i="1" s="1"/>
  <c r="T37" i="1" s="1"/>
  <c r="U37" i="1" s="1"/>
  <c r="V37" i="1" s="1"/>
  <c r="Q37" i="1"/>
  <c r="R10" i="1"/>
  <c r="S10" i="1" s="1"/>
  <c r="T10" i="1" s="1"/>
  <c r="U10" i="1" s="1"/>
  <c r="V10" i="1" s="1"/>
  <c r="Q10" i="1"/>
  <c r="Q273" i="1"/>
  <c r="R273" i="1"/>
  <c r="S273" i="1" s="1"/>
  <c r="T273" i="1" s="1"/>
  <c r="U273" i="1" s="1"/>
  <c r="V273" i="1" s="1"/>
  <c r="R242" i="1"/>
  <c r="S242" i="1" s="1"/>
  <c r="T242" i="1" s="1"/>
  <c r="U242" i="1" s="1"/>
  <c r="V242" i="1" s="1"/>
  <c r="Q242" i="1"/>
  <c r="Q164" i="1"/>
  <c r="R164" i="1"/>
  <c r="S164" i="1" s="1"/>
  <c r="T164" i="1" s="1"/>
  <c r="U164" i="1" s="1"/>
  <c r="V164" i="1" s="1"/>
  <c r="Q53" i="1"/>
  <c r="R53" i="1"/>
  <c r="S53" i="1" s="1"/>
  <c r="T53" i="1" s="1"/>
  <c r="U53" i="1" s="1"/>
  <c r="V53" i="1" s="1"/>
  <c r="R76" i="1"/>
  <c r="S76" i="1" s="1"/>
  <c r="T76" i="1" s="1"/>
  <c r="U76" i="1" s="1"/>
  <c r="V76" i="1" s="1"/>
  <c r="Q76" i="1"/>
  <c r="Q217" i="1"/>
  <c r="R217" i="1"/>
  <c r="S217" i="1" s="1"/>
  <c r="T217" i="1" s="1"/>
  <c r="U217" i="1" s="1"/>
  <c r="V217" i="1" s="1"/>
  <c r="Q345" i="1"/>
  <c r="R345" i="1"/>
  <c r="S345" i="1" s="1"/>
  <c r="T345" i="1" s="1"/>
  <c r="U345" i="1" s="1"/>
  <c r="V345" i="1" s="1"/>
  <c r="R130" i="1"/>
  <c r="S130" i="1" s="1"/>
  <c r="T130" i="1" s="1"/>
  <c r="U130" i="1" s="1"/>
  <c r="V130" i="1" s="1"/>
  <c r="Q130" i="1"/>
  <c r="R325" i="1"/>
  <c r="S325" i="1" s="1"/>
  <c r="T325" i="1" s="1"/>
  <c r="U325" i="1" s="1"/>
  <c r="V325" i="1" s="1"/>
  <c r="Q325" i="1"/>
  <c r="Q172" i="1"/>
  <c r="R172" i="1"/>
  <c r="S172" i="1" s="1"/>
  <c r="T172" i="1" s="1"/>
  <c r="U172" i="1" s="1"/>
  <c r="V172" i="1" s="1"/>
  <c r="Q236" i="1"/>
  <c r="R236" i="1"/>
  <c r="S236" i="1" s="1"/>
  <c r="T236" i="1" s="1"/>
  <c r="U236" i="1" s="1"/>
  <c r="V236" i="1" s="1"/>
  <c r="Q316" i="1"/>
  <c r="R316" i="1"/>
  <c r="S316" i="1" s="1"/>
  <c r="T316" i="1" s="1"/>
  <c r="U316" i="1" s="1"/>
  <c r="V316" i="1" s="1"/>
  <c r="Q69" i="1"/>
  <c r="R69" i="1"/>
  <c r="S69" i="1" s="1"/>
  <c r="T69" i="1" s="1"/>
  <c r="U69" i="1" s="1"/>
  <c r="V69" i="1" s="1"/>
  <c r="R197" i="1"/>
  <c r="S197" i="1" s="1"/>
  <c r="T197" i="1" s="1"/>
  <c r="U197" i="1" s="1"/>
  <c r="V197" i="1" s="1"/>
  <c r="Q197" i="1"/>
  <c r="R352" i="1"/>
  <c r="S352" i="1" s="1"/>
  <c r="T352" i="1" s="1"/>
  <c r="U352" i="1" s="1"/>
  <c r="V352" i="1" s="1"/>
  <c r="Q352" i="1"/>
  <c r="Q201" i="1"/>
  <c r="R201" i="1"/>
  <c r="S201" i="1" s="1"/>
  <c r="T201" i="1" s="1"/>
  <c r="U201" i="1" s="1"/>
  <c r="V201" i="1" s="1"/>
  <c r="Q50" i="1"/>
  <c r="R50" i="1"/>
  <c r="S50" i="1" s="1"/>
  <c r="T50" i="1" s="1"/>
  <c r="U50" i="1" s="1"/>
  <c r="V50" i="1" s="1"/>
  <c r="R195" i="1"/>
  <c r="S195" i="1" s="1"/>
  <c r="T195" i="1" s="1"/>
  <c r="U195" i="1" s="1"/>
  <c r="V195" i="1" s="1"/>
  <c r="Q195" i="1"/>
  <c r="Q356" i="1"/>
  <c r="R356" i="1"/>
  <c r="S356" i="1" s="1"/>
  <c r="T356" i="1" s="1"/>
  <c r="U356" i="1" s="1"/>
  <c r="V356" i="1" s="1"/>
  <c r="R165" i="1"/>
  <c r="S165" i="1" s="1"/>
  <c r="T165" i="1" s="1"/>
  <c r="U165" i="1" s="1"/>
  <c r="V165" i="1" s="1"/>
  <c r="Q165" i="1"/>
  <c r="R68" i="1"/>
  <c r="S68" i="1" s="1"/>
  <c r="T68" i="1" s="1"/>
  <c r="U68" i="1" s="1"/>
  <c r="V68" i="1" s="1"/>
  <c r="Q68" i="1"/>
  <c r="Q145" i="1"/>
  <c r="R145" i="1"/>
  <c r="S145" i="1" s="1"/>
  <c r="T145" i="1" s="1"/>
  <c r="U145" i="1" s="1"/>
  <c r="V145" i="1" s="1"/>
  <c r="Q337" i="1"/>
  <c r="R337" i="1"/>
  <c r="S337" i="1" s="1"/>
  <c r="T337" i="1" s="1"/>
  <c r="U337" i="1" s="1"/>
  <c r="V337" i="1" s="1"/>
  <c r="R122" i="1"/>
  <c r="S122" i="1" s="1"/>
  <c r="T122" i="1" s="1"/>
  <c r="U122" i="1" s="1"/>
  <c r="V122" i="1" s="1"/>
  <c r="Q122" i="1"/>
  <c r="R299" i="1"/>
  <c r="S299" i="1" s="1"/>
  <c r="T299" i="1" s="1"/>
  <c r="U299" i="1" s="1"/>
  <c r="V299" i="1" s="1"/>
  <c r="Q299" i="1"/>
  <c r="Q228" i="1"/>
  <c r="R228" i="1"/>
  <c r="S228" i="1" s="1"/>
  <c r="T228" i="1" s="1"/>
  <c r="U228" i="1" s="1"/>
  <c r="V228" i="1" s="1"/>
  <c r="R150" i="1"/>
  <c r="S150" i="1" s="1"/>
  <c r="T150" i="1" s="1"/>
  <c r="U150" i="1" s="1"/>
  <c r="V150" i="1" s="1"/>
  <c r="Q150" i="1"/>
  <c r="Q17" i="1"/>
  <c r="R17" i="1"/>
  <c r="S17" i="1" s="1"/>
  <c r="T17" i="1" s="1"/>
  <c r="U17" i="1" s="1"/>
  <c r="V17" i="1" s="1"/>
  <c r="Q153" i="1"/>
  <c r="R153" i="1"/>
  <c r="S153" i="1" s="1"/>
  <c r="T153" i="1" s="1"/>
  <c r="U153" i="1" s="1"/>
  <c r="V153" i="1" s="1"/>
  <c r="Q281" i="1"/>
  <c r="R281" i="1"/>
  <c r="S281" i="1" s="1"/>
  <c r="T281" i="1" s="1"/>
  <c r="U281" i="1" s="1"/>
  <c r="V281" i="1" s="1"/>
  <c r="R162" i="1"/>
  <c r="S162" i="1" s="1"/>
  <c r="T162" i="1" s="1"/>
  <c r="U162" i="1" s="1"/>
  <c r="V162" i="1" s="1"/>
  <c r="Q162" i="1"/>
  <c r="R250" i="1"/>
  <c r="S250" i="1" s="1"/>
  <c r="T250" i="1" s="1"/>
  <c r="U250" i="1" s="1"/>
  <c r="V250" i="1" s="1"/>
  <c r="Q250" i="1"/>
  <c r="R338" i="1"/>
  <c r="S338" i="1" s="1"/>
  <c r="T338" i="1" s="1"/>
  <c r="U338" i="1" s="1"/>
  <c r="V338" i="1" s="1"/>
  <c r="Q338" i="1"/>
  <c r="Q33" i="1"/>
  <c r="R33" i="1"/>
  <c r="S33" i="1" s="1"/>
  <c r="T33" i="1" s="1"/>
  <c r="U33" i="1" s="1"/>
  <c r="V33" i="1" s="1"/>
  <c r="Q97" i="1"/>
  <c r="R97" i="1"/>
  <c r="S97" i="1" s="1"/>
  <c r="T97" i="1" s="1"/>
  <c r="U97" i="1" s="1"/>
  <c r="V97" i="1" s="1"/>
  <c r="R84" i="1"/>
  <c r="S84" i="1" s="1"/>
  <c r="T84" i="1" s="1"/>
  <c r="U84" i="1" s="1"/>
  <c r="V84" i="1" s="1"/>
  <c r="Q84" i="1"/>
  <c r="Q161" i="1"/>
  <c r="R161" i="1"/>
  <c r="S161" i="1" s="1"/>
  <c r="T161" i="1" s="1"/>
  <c r="U161" i="1" s="1"/>
  <c r="V161" i="1" s="1"/>
  <c r="Q225" i="1"/>
  <c r="R225" i="1"/>
  <c r="S225" i="1" s="1"/>
  <c r="T225" i="1" s="1"/>
  <c r="U225" i="1" s="1"/>
  <c r="V225" i="1" s="1"/>
  <c r="Q289" i="1"/>
  <c r="R289" i="1"/>
  <c r="S289" i="1" s="1"/>
  <c r="T289" i="1" s="1"/>
  <c r="U289" i="1" s="1"/>
  <c r="V289" i="1" s="1"/>
  <c r="Q353" i="1"/>
  <c r="R353" i="1"/>
  <c r="S353" i="1" s="1"/>
  <c r="T353" i="1" s="1"/>
  <c r="U353" i="1" s="1"/>
  <c r="V353" i="1" s="1"/>
  <c r="Q18" i="1"/>
  <c r="R18" i="1"/>
  <c r="S18" i="1" s="1"/>
  <c r="T18" i="1" s="1"/>
  <c r="U18" i="1" s="1"/>
  <c r="V18" i="1" s="1"/>
  <c r="R258" i="1"/>
  <c r="S258" i="1" s="1"/>
  <c r="T258" i="1" s="1"/>
  <c r="U258" i="1" s="1"/>
  <c r="V258" i="1" s="1"/>
  <c r="Q258" i="1"/>
  <c r="R290" i="1"/>
  <c r="S290" i="1" s="1"/>
  <c r="T290" i="1" s="1"/>
  <c r="U290" i="1" s="1"/>
  <c r="V290" i="1" s="1"/>
  <c r="Q290" i="1"/>
  <c r="R354" i="1"/>
  <c r="S354" i="1" s="1"/>
  <c r="T354" i="1" s="1"/>
  <c r="U354" i="1" s="1"/>
  <c r="V354" i="1" s="1"/>
  <c r="Q354" i="1"/>
  <c r="R251" i="1"/>
  <c r="S251" i="1" s="1"/>
  <c r="T251" i="1" s="1"/>
  <c r="U251" i="1" s="1"/>
  <c r="V251" i="1" s="1"/>
  <c r="Q251" i="1"/>
  <c r="Q180" i="1"/>
  <c r="R180" i="1"/>
  <c r="S180" i="1" s="1"/>
  <c r="T180" i="1" s="1"/>
  <c r="U180" i="1" s="1"/>
  <c r="V180" i="1" s="1"/>
  <c r="Q244" i="1"/>
  <c r="R244" i="1"/>
  <c r="S244" i="1" s="1"/>
  <c r="T244" i="1" s="1"/>
  <c r="U244" i="1" s="1"/>
  <c r="V244" i="1" s="1"/>
  <c r="Q340" i="1"/>
  <c r="R340" i="1"/>
  <c r="S340" i="1" s="1"/>
  <c r="T340" i="1" s="1"/>
  <c r="U340" i="1" s="1"/>
  <c r="V340" i="1" s="1"/>
  <c r="R13" i="1"/>
  <c r="S13" i="1" s="1"/>
  <c r="T13" i="1" s="1"/>
  <c r="U13" i="1" s="1"/>
  <c r="V13" i="1" s="1"/>
  <c r="Q13" i="1"/>
  <c r="Q85" i="1"/>
  <c r="R85" i="1"/>
  <c r="S85" i="1" s="1"/>
  <c r="T85" i="1" s="1"/>
  <c r="U85" i="1" s="1"/>
  <c r="V85" i="1" s="1"/>
  <c r="R213" i="1"/>
  <c r="S213" i="1" s="1"/>
  <c r="T213" i="1" s="1"/>
  <c r="U213" i="1" s="1"/>
  <c r="V213" i="1" s="1"/>
  <c r="Q213" i="1"/>
  <c r="R64" i="1"/>
  <c r="S64" i="1" s="1"/>
  <c r="T64" i="1" s="1"/>
  <c r="U64" i="1" s="1"/>
  <c r="V64" i="1" s="1"/>
  <c r="Q64" i="1"/>
  <c r="R360" i="1"/>
  <c r="S360" i="1" s="1"/>
  <c r="T360" i="1" s="1"/>
  <c r="U360" i="1" s="1"/>
  <c r="V360" i="1" s="1"/>
  <c r="Q360" i="1"/>
  <c r="Q329" i="1"/>
  <c r="R329" i="1"/>
  <c r="S329" i="1" s="1"/>
  <c r="T329" i="1" s="1"/>
  <c r="U329" i="1" s="1"/>
  <c r="V329" i="1" s="1"/>
  <c r="R114" i="1"/>
  <c r="S114" i="1" s="1"/>
  <c r="T114" i="1" s="1"/>
  <c r="U114" i="1" s="1"/>
  <c r="V114" i="1" s="1"/>
  <c r="Q114" i="1"/>
  <c r="R339" i="1"/>
  <c r="S339" i="1" s="1"/>
  <c r="T339" i="1" s="1"/>
  <c r="U339" i="1" s="1"/>
  <c r="V339" i="1" s="1"/>
  <c r="Q339" i="1"/>
  <c r="Q81" i="1"/>
  <c r="R81" i="1"/>
  <c r="S81" i="1" s="1"/>
  <c r="T81" i="1" s="1"/>
  <c r="U81" i="1" s="1"/>
  <c r="V81" i="1" s="1"/>
  <c r="Q209" i="1"/>
  <c r="R209" i="1"/>
  <c r="S209" i="1" s="1"/>
  <c r="T209" i="1" s="1"/>
  <c r="U209" i="1" s="1"/>
  <c r="V209" i="1" s="1"/>
  <c r="Y6" i="1"/>
  <c r="Z6" i="1" s="1"/>
  <c r="AA6" i="1" s="1"/>
  <c r="R6" i="1"/>
  <c r="S6" i="1" s="1"/>
  <c r="T6" i="1" s="1"/>
  <c r="U6" i="1" s="1"/>
  <c r="V6" i="1" s="1"/>
  <c r="Q6" i="1"/>
  <c r="R293" i="1"/>
  <c r="S293" i="1" s="1"/>
  <c r="T293" i="1" s="1"/>
  <c r="U293" i="1" s="1"/>
  <c r="V293" i="1" s="1"/>
  <c r="Q293" i="1"/>
  <c r="Q292" i="1"/>
  <c r="R292" i="1"/>
  <c r="S292" i="1" s="1"/>
  <c r="T292" i="1" s="1"/>
  <c r="U292" i="1" s="1"/>
  <c r="V292" i="1" s="1"/>
  <c r="R181" i="1"/>
  <c r="S181" i="1" s="1"/>
  <c r="T181" i="1" s="1"/>
  <c r="U181" i="1" s="1"/>
  <c r="V181" i="1" s="1"/>
  <c r="Q181" i="1"/>
  <c r="R206" i="1"/>
  <c r="S206" i="1" s="1"/>
  <c r="T206" i="1" s="1"/>
  <c r="U206" i="1" s="1"/>
  <c r="V206" i="1" s="1"/>
  <c r="Q206" i="1"/>
  <c r="Q89" i="1"/>
  <c r="R89" i="1"/>
  <c r="S89" i="1" s="1"/>
  <c r="T89" i="1" s="1"/>
  <c r="U89" i="1" s="1"/>
  <c r="V89" i="1" s="1"/>
  <c r="R26" i="1"/>
  <c r="S26" i="1" s="1"/>
  <c r="T26" i="1" s="1"/>
  <c r="U26" i="1" s="1"/>
  <c r="V26" i="1" s="1"/>
  <c r="Q26" i="1"/>
  <c r="Q41" i="1"/>
  <c r="R41" i="1"/>
  <c r="S41" i="1" s="1"/>
  <c r="T41" i="1" s="1"/>
  <c r="U41" i="1" s="1"/>
  <c r="V41" i="1" s="1"/>
  <c r="Q105" i="1"/>
  <c r="R105" i="1"/>
  <c r="S105" i="1" s="1"/>
  <c r="T105" i="1" s="1"/>
  <c r="U105" i="1" s="1"/>
  <c r="V105" i="1" s="1"/>
  <c r="R12" i="1"/>
  <c r="S12" i="1" s="1"/>
  <c r="T12" i="1" s="1"/>
  <c r="U12" i="1" s="1"/>
  <c r="V12" i="1" s="1"/>
  <c r="Q12" i="1"/>
  <c r="R92" i="1"/>
  <c r="S92" i="1" s="1"/>
  <c r="T92" i="1" s="1"/>
  <c r="U92" i="1" s="1"/>
  <c r="V92" i="1" s="1"/>
  <c r="Q92" i="1"/>
  <c r="R7" i="1"/>
  <c r="S7" i="1" s="1"/>
  <c r="T7" i="1" s="1"/>
  <c r="U7" i="1" s="1"/>
  <c r="V7" i="1" s="1"/>
  <c r="Q7" i="1"/>
  <c r="Q25" i="1"/>
  <c r="R25" i="1"/>
  <c r="S25" i="1" s="1"/>
  <c r="T25" i="1" s="1"/>
  <c r="U25" i="1" s="1"/>
  <c r="V25" i="1" s="1"/>
  <c r="Q169" i="1"/>
  <c r="R169" i="1"/>
  <c r="S169" i="1" s="1"/>
  <c r="T169" i="1" s="1"/>
  <c r="U169" i="1" s="1"/>
  <c r="V169" i="1" s="1"/>
  <c r="Q233" i="1"/>
  <c r="R233" i="1"/>
  <c r="S233" i="1" s="1"/>
  <c r="T233" i="1" s="1"/>
  <c r="U233" i="1" s="1"/>
  <c r="V233" i="1" s="1"/>
  <c r="Q297" i="1"/>
  <c r="R297" i="1"/>
  <c r="S297" i="1" s="1"/>
  <c r="T297" i="1" s="1"/>
  <c r="U297" i="1" s="1"/>
  <c r="V297" i="1" s="1"/>
  <c r="Q361" i="1"/>
  <c r="R361" i="1"/>
  <c r="S361" i="1" s="1"/>
  <c r="T361" i="1" s="1"/>
  <c r="U361" i="1" s="1"/>
  <c r="V361" i="1" s="1"/>
  <c r="Q34" i="1"/>
  <c r="R34" i="1"/>
  <c r="S34" i="1" s="1"/>
  <c r="T34" i="1" s="1"/>
  <c r="U34" i="1" s="1"/>
  <c r="V34" i="1" s="1"/>
  <c r="Q66" i="1"/>
  <c r="R66" i="1"/>
  <c r="S66" i="1" s="1"/>
  <c r="T66" i="1" s="1"/>
  <c r="U66" i="1" s="1"/>
  <c r="V66" i="1" s="1"/>
  <c r="Q98" i="1"/>
  <c r="R98" i="1"/>
  <c r="S98" i="1" s="1"/>
  <c r="T98" i="1" s="1"/>
  <c r="U98" i="1" s="1"/>
  <c r="V98" i="1" s="1"/>
  <c r="R210" i="1"/>
  <c r="S210" i="1" s="1"/>
  <c r="T210" i="1" s="1"/>
  <c r="U210" i="1" s="1"/>
  <c r="V210" i="1" s="1"/>
  <c r="Q210" i="1"/>
  <c r="R306" i="1"/>
  <c r="S306" i="1" s="1"/>
  <c r="T306" i="1" s="1"/>
  <c r="U306" i="1" s="1"/>
  <c r="V306" i="1" s="1"/>
  <c r="Q306" i="1"/>
  <c r="Q308" i="1"/>
  <c r="R308" i="1"/>
  <c r="S308" i="1" s="1"/>
  <c r="T308" i="1" s="1"/>
  <c r="U308" i="1" s="1"/>
  <c r="V308" i="1" s="1"/>
  <c r="R259" i="1"/>
  <c r="S259" i="1" s="1"/>
  <c r="T259" i="1" s="1"/>
  <c r="U259" i="1" s="1"/>
  <c r="V259" i="1" s="1"/>
  <c r="Q259" i="1"/>
  <c r="R20" i="1"/>
  <c r="S20" i="1" s="1"/>
  <c r="T20" i="1" s="1"/>
  <c r="U20" i="1" s="1"/>
  <c r="V20" i="1" s="1"/>
  <c r="Q20" i="1"/>
  <c r="Q188" i="1"/>
  <c r="R188" i="1"/>
  <c r="S188" i="1" s="1"/>
  <c r="T188" i="1" s="1"/>
  <c r="U188" i="1" s="1"/>
  <c r="V188" i="1" s="1"/>
  <c r="Q252" i="1"/>
  <c r="R252" i="1"/>
  <c r="S252" i="1" s="1"/>
  <c r="T252" i="1" s="1"/>
  <c r="U252" i="1" s="1"/>
  <c r="V252" i="1" s="1"/>
  <c r="Q364" i="1"/>
  <c r="R364" i="1"/>
  <c r="S364" i="1" s="1"/>
  <c r="T364" i="1" s="1"/>
  <c r="U364" i="1" s="1"/>
  <c r="V364" i="1" s="1"/>
  <c r="R142" i="1"/>
  <c r="S142" i="1" s="1"/>
  <c r="T142" i="1" s="1"/>
  <c r="U142" i="1" s="1"/>
  <c r="V142" i="1" s="1"/>
  <c r="Q142" i="1"/>
  <c r="R101" i="1"/>
  <c r="S101" i="1" s="1"/>
  <c r="T101" i="1" s="1"/>
  <c r="U101" i="1" s="1"/>
  <c r="V101" i="1" s="1"/>
  <c r="Q101" i="1"/>
  <c r="R229" i="1"/>
  <c r="S229" i="1" s="1"/>
  <c r="T229" i="1" s="1"/>
  <c r="U229" i="1" s="1"/>
  <c r="V229" i="1" s="1"/>
  <c r="Q229" i="1"/>
  <c r="R104" i="1"/>
  <c r="S104" i="1" s="1"/>
  <c r="T104" i="1" s="1"/>
  <c r="U104" i="1" s="1"/>
  <c r="V104" i="1" s="1"/>
  <c r="Q104" i="1"/>
  <c r="R333" i="1"/>
  <c r="S333" i="1" s="1"/>
  <c r="T333" i="1" s="1"/>
  <c r="U333" i="1" s="1"/>
  <c r="V333" i="1" s="1"/>
  <c r="Q333" i="1"/>
  <c r="Q73" i="1"/>
  <c r="R73" i="1"/>
  <c r="S73" i="1" s="1"/>
  <c r="T73" i="1" s="1"/>
  <c r="U73" i="1" s="1"/>
  <c r="V73" i="1" s="1"/>
  <c r="R315" i="1"/>
  <c r="S315" i="1" s="1"/>
  <c r="T315" i="1" s="1"/>
  <c r="U315" i="1" s="1"/>
  <c r="V315" i="1" s="1"/>
  <c r="Q315" i="1"/>
  <c r="R363" i="1"/>
  <c r="S363" i="1" s="1"/>
  <c r="T363" i="1" s="1"/>
  <c r="U363" i="1" s="1"/>
  <c r="V363" i="1" s="1"/>
  <c r="Q363" i="1"/>
  <c r="Q132" i="1"/>
  <c r="R132" i="1"/>
  <c r="S132" i="1" s="1"/>
  <c r="T132" i="1" s="1"/>
  <c r="U132" i="1" s="1"/>
  <c r="V132" i="1" s="1"/>
  <c r="Q196" i="1"/>
  <c r="R196" i="1"/>
  <c r="S196" i="1" s="1"/>
  <c r="T196" i="1" s="1"/>
  <c r="U196" i="1" s="1"/>
  <c r="V196" i="1" s="1"/>
  <c r="Q260" i="1"/>
  <c r="R260" i="1"/>
  <c r="S260" i="1" s="1"/>
  <c r="T260" i="1" s="1"/>
  <c r="U260" i="1" s="1"/>
  <c r="V260" i="1" s="1"/>
  <c r="R341" i="1"/>
  <c r="S341" i="1" s="1"/>
  <c r="T341" i="1" s="1"/>
  <c r="U341" i="1" s="1"/>
  <c r="V341" i="1" s="1"/>
  <c r="Q341" i="1"/>
  <c r="R117" i="1"/>
  <c r="S117" i="1" s="1"/>
  <c r="T117" i="1" s="1"/>
  <c r="U117" i="1" s="1"/>
  <c r="V117" i="1" s="1"/>
  <c r="Q117" i="1"/>
  <c r="R245" i="1"/>
  <c r="S245" i="1" s="1"/>
  <c r="T245" i="1" s="1"/>
  <c r="U245" i="1" s="1"/>
  <c r="V245" i="1" s="1"/>
  <c r="Q245" i="1"/>
  <c r="R232" i="1"/>
  <c r="S232" i="1" s="1"/>
  <c r="T232" i="1" s="1"/>
  <c r="U232" i="1" s="1"/>
  <c r="V232" i="1" s="1"/>
  <c r="Q232" i="1"/>
  <c r="R269" i="1"/>
  <c r="S269" i="1" s="1"/>
  <c r="T269" i="1" s="1"/>
  <c r="U269" i="1" s="1"/>
  <c r="V269" i="1" s="1"/>
  <c r="Q269" i="1"/>
  <c r="Q124" i="1"/>
  <c r="R124" i="1"/>
  <c r="S124" i="1" s="1"/>
  <c r="T124" i="1" s="1"/>
  <c r="U124" i="1" s="1"/>
  <c r="V124" i="1" s="1"/>
  <c r="Q265" i="1"/>
  <c r="R265" i="1"/>
  <c r="S265" i="1" s="1"/>
  <c r="T265" i="1" s="1"/>
  <c r="U265" i="1" s="1"/>
  <c r="V265" i="1" s="1"/>
  <c r="Q82" i="1"/>
  <c r="R82" i="1"/>
  <c r="S82" i="1" s="1"/>
  <c r="T82" i="1" s="1"/>
  <c r="U82" i="1" s="1"/>
  <c r="V82" i="1" s="1"/>
  <c r="Q220" i="1"/>
  <c r="R220" i="1"/>
  <c r="S220" i="1" s="1"/>
  <c r="T220" i="1" s="1"/>
  <c r="U220" i="1" s="1"/>
  <c r="V220" i="1" s="1"/>
  <c r="R296" i="1"/>
  <c r="S296" i="1" s="1"/>
  <c r="T296" i="1" s="1"/>
  <c r="U296" i="1" s="1"/>
  <c r="V296" i="1" s="1"/>
  <c r="Q296" i="1"/>
  <c r="R334" i="1"/>
  <c r="S334" i="1" s="1"/>
  <c r="T334" i="1" s="1"/>
  <c r="U334" i="1" s="1"/>
  <c r="V334" i="1" s="1"/>
  <c r="Q334" i="1"/>
  <c r="Q49" i="1"/>
  <c r="R49" i="1"/>
  <c r="S49" i="1" s="1"/>
  <c r="T49" i="1" s="1"/>
  <c r="U49" i="1" s="1"/>
  <c r="V49" i="1" s="1"/>
  <c r="R36" i="1"/>
  <c r="S36" i="1" s="1"/>
  <c r="T36" i="1" s="1"/>
  <c r="U36" i="1" s="1"/>
  <c r="V36" i="1" s="1"/>
  <c r="Q36" i="1"/>
  <c r="R15" i="1"/>
  <c r="S15" i="1" s="1"/>
  <c r="T15" i="1" s="1"/>
  <c r="U15" i="1" s="1"/>
  <c r="V15" i="1" s="1"/>
  <c r="Q15" i="1"/>
  <c r="Q113" i="1"/>
  <c r="R113" i="1"/>
  <c r="S113" i="1" s="1"/>
  <c r="T113" i="1" s="1"/>
  <c r="U113" i="1" s="1"/>
  <c r="V113" i="1" s="1"/>
  <c r="Q241" i="1"/>
  <c r="R241" i="1"/>
  <c r="S241" i="1" s="1"/>
  <c r="T241" i="1" s="1"/>
  <c r="U241" i="1" s="1"/>
  <c r="V241" i="1" s="1"/>
  <c r="Q369" i="1"/>
  <c r="R369" i="1"/>
  <c r="S369" i="1" s="1"/>
  <c r="T369" i="1" s="1"/>
  <c r="U369" i="1" s="1"/>
  <c r="V369" i="1" s="1"/>
  <c r="R226" i="1"/>
  <c r="S226" i="1" s="1"/>
  <c r="T226" i="1" s="1"/>
  <c r="U226" i="1" s="1"/>
  <c r="V226" i="1" s="1"/>
  <c r="Q226" i="1"/>
  <c r="R314" i="1"/>
  <c r="S314" i="1" s="1"/>
  <c r="T314" i="1" s="1"/>
  <c r="U314" i="1" s="1"/>
  <c r="V314" i="1" s="1"/>
  <c r="Q314" i="1"/>
  <c r="Q57" i="1"/>
  <c r="R57" i="1"/>
  <c r="S57" i="1" s="1"/>
  <c r="T57" i="1" s="1"/>
  <c r="U57" i="1" s="1"/>
  <c r="V57" i="1" s="1"/>
  <c r="R44" i="1"/>
  <c r="S44" i="1" s="1"/>
  <c r="T44" i="1" s="1"/>
  <c r="U44" i="1" s="1"/>
  <c r="V44" i="1" s="1"/>
  <c r="Q44" i="1"/>
  <c r="R23" i="1"/>
  <c r="S23" i="1" s="1"/>
  <c r="T23" i="1" s="1"/>
  <c r="U23" i="1" s="1"/>
  <c r="V23" i="1" s="1"/>
  <c r="Q23" i="1"/>
  <c r="Q121" i="1"/>
  <c r="R121" i="1"/>
  <c r="S121" i="1" s="1"/>
  <c r="T121" i="1" s="1"/>
  <c r="U121" i="1" s="1"/>
  <c r="V121" i="1" s="1"/>
  <c r="Q249" i="1"/>
  <c r="R249" i="1"/>
  <c r="S249" i="1" s="1"/>
  <c r="T249" i="1" s="1"/>
  <c r="U249" i="1" s="1"/>
  <c r="V249" i="1" s="1"/>
  <c r="R146" i="1"/>
  <c r="S146" i="1" s="1"/>
  <c r="T146" i="1" s="1"/>
  <c r="U146" i="1" s="1"/>
  <c r="V146" i="1" s="1"/>
  <c r="Q146" i="1"/>
  <c r="R322" i="1"/>
  <c r="S322" i="1" s="1"/>
  <c r="T322" i="1" s="1"/>
  <c r="U322" i="1" s="1"/>
  <c r="V322" i="1" s="1"/>
  <c r="Q322" i="1"/>
  <c r="Q348" i="1"/>
  <c r="R348" i="1"/>
  <c r="S348" i="1" s="1"/>
  <c r="T348" i="1" s="1"/>
  <c r="U348" i="1" s="1"/>
  <c r="V348" i="1" s="1"/>
  <c r="Q318" i="1"/>
  <c r="R318" i="1"/>
  <c r="S318" i="1" s="1"/>
  <c r="T318" i="1" s="1"/>
  <c r="U318" i="1" s="1"/>
  <c r="V318" i="1" s="1"/>
  <c r="R27" i="1"/>
  <c r="S27" i="1" s="1"/>
  <c r="T27" i="1" s="1"/>
  <c r="U27" i="1" s="1"/>
  <c r="V27" i="1" s="1"/>
  <c r="Q27" i="1"/>
  <c r="R323" i="1"/>
  <c r="S323" i="1" s="1"/>
  <c r="T323" i="1" s="1"/>
  <c r="U323" i="1" s="1"/>
  <c r="V323" i="1" s="1"/>
  <c r="Q323" i="1"/>
  <c r="Q300" i="1"/>
  <c r="R300" i="1"/>
  <c r="S300" i="1" s="1"/>
  <c r="T300" i="1" s="1"/>
  <c r="U300" i="1" s="1"/>
  <c r="V300" i="1" s="1"/>
  <c r="Q140" i="1"/>
  <c r="R140" i="1"/>
  <c r="S140" i="1" s="1"/>
  <c r="T140" i="1" s="1"/>
  <c r="U140" i="1" s="1"/>
  <c r="V140" i="1" s="1"/>
  <c r="Q204" i="1"/>
  <c r="R204" i="1"/>
  <c r="S204" i="1" s="1"/>
  <c r="T204" i="1" s="1"/>
  <c r="U204" i="1" s="1"/>
  <c r="V204" i="1" s="1"/>
  <c r="Q268" i="1"/>
  <c r="R268" i="1"/>
  <c r="S268" i="1" s="1"/>
  <c r="T268" i="1" s="1"/>
  <c r="U268" i="1" s="1"/>
  <c r="V268" i="1" s="1"/>
  <c r="R133" i="1"/>
  <c r="S133" i="1" s="1"/>
  <c r="T133" i="1" s="1"/>
  <c r="U133" i="1" s="1"/>
  <c r="V133" i="1" s="1"/>
  <c r="Q133" i="1"/>
  <c r="R277" i="1"/>
  <c r="S277" i="1" s="1"/>
  <c r="T277" i="1" s="1"/>
  <c r="U277" i="1" s="1"/>
  <c r="V277" i="1" s="1"/>
  <c r="Q277" i="1"/>
  <c r="R80" i="1"/>
  <c r="S80" i="1" s="1"/>
  <c r="T80" i="1" s="1"/>
  <c r="U80" i="1" s="1"/>
  <c r="V80" i="1" s="1"/>
  <c r="Q80" i="1"/>
  <c r="R160" i="1"/>
  <c r="S160" i="1" s="1"/>
  <c r="T160" i="1" s="1"/>
  <c r="U160" i="1" s="1"/>
  <c r="V160" i="1" s="1"/>
  <c r="Q160" i="1"/>
  <c r="R205" i="1"/>
  <c r="S205" i="1" s="1"/>
  <c r="T205" i="1" s="1"/>
  <c r="U205" i="1" s="1"/>
  <c r="V205" i="1" s="1"/>
  <c r="Q205" i="1"/>
</calcChain>
</file>

<file path=xl/sharedStrings.xml><?xml version="1.0" encoding="utf-8"?>
<sst xmlns="http://schemas.openxmlformats.org/spreadsheetml/2006/main" count="50" uniqueCount="42">
  <si>
    <t>Rabl, pagina 32</t>
  </si>
  <si>
    <t>Petrolina</t>
  </si>
  <si>
    <t>hemisferio Sul</t>
  </si>
  <si>
    <t>quando θz</t>
  </si>
  <si>
    <t>igual a 90</t>
  </si>
  <si>
    <t>cos(θz)</t>
  </si>
  <si>
    <t>igual a zero</t>
  </si>
  <si>
    <t>a hora de saida e por do sol fica</t>
  </si>
  <si>
    <t>cos(ωs)</t>
  </si>
  <si>
    <t>igual a tan((λ).tan(δ)</t>
  </si>
  <si>
    <t>SEN(δ)</t>
  </si>
  <si>
    <t>igual a -SEN(23,45).cos(360.(n+10)/365,25)</t>
  </si>
  <si>
    <t>n (dia)</t>
  </si>
  <si>
    <t>Sen(delta)</t>
  </si>
  <si>
    <t>360.(n+10)/365,25</t>
  </si>
  <si>
    <t>sen(23,45)</t>
  </si>
  <si>
    <t>sen (delta)</t>
  </si>
  <si>
    <t>L em radianos</t>
  </si>
  <si>
    <t>cos(L)</t>
  </si>
  <si>
    <t>delta</t>
  </si>
  <si>
    <t>radianos</t>
  </si>
  <si>
    <t>graus</t>
  </si>
  <si>
    <t>Ângulo de saída e do pôr do Sol</t>
  </si>
  <si>
    <t>latitude 9graus 23min 55seg</t>
  </si>
  <si>
    <t>Latitude lambda</t>
  </si>
  <si>
    <t>tan(delta)</t>
  </si>
  <si>
    <t>cos(ws)</t>
  </si>
  <si>
    <t>ws</t>
  </si>
  <si>
    <t>ws (horas)</t>
  </si>
  <si>
    <t>Os modulos de Petrolina estao inclinados a 15 graus em direção ao hemisferio Norte</t>
  </si>
  <si>
    <t>beta - lambda</t>
  </si>
  <si>
    <t>Inclinação dos modulos igual a 15 graus na direção do hemisferio Norte</t>
  </si>
  <si>
    <r>
      <t>A equação do ângulo de</t>
    </r>
    <r>
      <rPr>
        <b/>
        <sz val="11"/>
        <color theme="1"/>
        <rFont val="Calibri"/>
        <family val="2"/>
        <scheme val="minor"/>
      </rPr>
      <t xml:space="preserve"> declinaçã</t>
    </r>
    <r>
      <rPr>
        <sz val="11"/>
        <color theme="1"/>
        <rFont val="Calibri"/>
        <family val="2"/>
        <scheme val="minor"/>
      </rPr>
      <t>o é a seguinte</t>
    </r>
  </si>
  <si>
    <t>Ângulo de saída e do pôr do Sol para os modulos</t>
  </si>
  <si>
    <t>cosw´s</t>
  </si>
  <si>
    <t>tan(lambda-beta)*tan(delta)</t>
  </si>
  <si>
    <t>cos(w`s)</t>
  </si>
  <si>
    <t>acos(w`s)</t>
  </si>
  <si>
    <t>w`s</t>
  </si>
  <si>
    <t>w`s (horas)</t>
  </si>
  <si>
    <t>Periodo noturno</t>
  </si>
  <si>
    <t>24-2.w`s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</si>
</sst>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Angulo de declinação ao longo do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Planilha1!$Q$6:$Q$365</c:f>
              <c:numCache>
                <c:formatCode>General</c:formatCode>
                <c:ptCount val="360"/>
                <c:pt idx="0">
                  <c:v>-23.007103272114684</c:v>
                </c:pt>
                <c:pt idx="1">
                  <c:v>-22.923379809080362</c:v>
                </c:pt>
                <c:pt idx="2">
                  <c:v>-22.832542540048451</c:v>
                </c:pt>
                <c:pt idx="3">
                  <c:v>-22.734632348837053</c:v>
                </c:pt>
                <c:pt idx="4">
                  <c:v>-22.629693101131775</c:v>
                </c:pt>
                <c:pt idx="5">
                  <c:v>-22.517771581576369</c:v>
                </c:pt>
                <c:pt idx="6">
                  <c:v>-22.398917427523493</c:v>
                </c:pt>
                <c:pt idx="7">
                  <c:v>-22.273183059696706</c:v>
                </c:pt>
                <c:pt idx="8">
                  <c:v>-22.140623610021933</c:v>
                </c:pt>
                <c:pt idx="9">
                  <c:v>-22.001296846892242</c:v>
                </c:pt>
                <c:pt idx="10">
                  <c:v>-21.855263098133879</c:v>
                </c:pt>
                <c:pt idx="11">
                  <c:v>-21.702585171944008</c:v>
                </c:pt>
                <c:pt idx="12">
                  <c:v>-21.543328276071396</c:v>
                </c:pt>
                <c:pt idx="13">
                  <c:v>-21.377559935510998</c:v>
                </c:pt>
                <c:pt idx="14">
                  <c:v>-21.205349908981162</c:v>
                </c:pt>
                <c:pt idx="15">
                  <c:v>-21.026770104449017</c:v>
                </c:pt>
                <c:pt idx="16">
                  <c:v>-20.84189449396488</c:v>
                </c:pt>
                <c:pt idx="17">
                  <c:v>-20.650799028060895</c:v>
                </c:pt>
                <c:pt idx="18">
                  <c:v>-20.453561549962046</c:v>
                </c:pt>
                <c:pt idx="19">
                  <c:v>-20.250261709849791</c:v>
                </c:pt>
                <c:pt idx="20">
                  <c:v>-20.040980879410032</c:v>
                </c:pt>
                <c:pt idx="21">
                  <c:v>-19.825802066887128</c:v>
                </c:pt>
                <c:pt idx="22">
                  <c:v>-19.604809832855736</c:v>
                </c:pt>
                <c:pt idx="23">
                  <c:v>-19.378090206911196</c:v>
                </c:pt>
                <c:pt idx="24">
                  <c:v>-19.145730605467822</c:v>
                </c:pt>
                <c:pt idx="25">
                  <c:v>-18.907819750842808</c:v>
                </c:pt>
                <c:pt idx="26">
                  <c:v>-18.664447591791308</c:v>
                </c:pt>
                <c:pt idx="27">
                  <c:v>-18.415705225646075</c:v>
                </c:pt>
                <c:pt idx="28">
                  <c:v>-18.161684822202659</c:v>
                </c:pt>
                <c:pt idx="29">
                  <c:v>-17.902479549478858</c:v>
                </c:pt>
                <c:pt idx="30">
                  <c:v>-17.63818350146472</c:v>
                </c:pt>
                <c:pt idx="31">
                  <c:v>-17.368891627967248</c:v>
                </c:pt>
                <c:pt idx="32">
                  <c:v>-17.094699666642004</c:v>
                </c:pt>
                <c:pt idx="33">
                  <c:v>-16.815704077291965</c:v>
                </c:pt>
                <c:pt idx="34">
                  <c:v>-16.532001978502617</c:v>
                </c:pt>
                <c:pt idx="35">
                  <c:v>-16.243691086671245</c:v>
                </c:pt>
                <c:pt idx="36">
                  <c:v>-15.950869657477456</c:v>
                </c:pt>
                <c:pt idx="37">
                  <c:v>-15.653636429832053</c:v>
                </c:pt>
                <c:pt idx="38">
                  <c:v>-15.35209057233121</c:v>
                </c:pt>
                <c:pt idx="39">
                  <c:v>-15.04633163223385</c:v>
                </c:pt>
                <c:pt idx="40">
                  <c:v>-14.7364594869711</c:v>
                </c:pt>
                <c:pt idx="41">
                  <c:v>-14.42257429818849</c:v>
                </c:pt>
                <c:pt idx="42">
                  <c:v>-14.104776468313684</c:v>
                </c:pt>
                <c:pt idx="43">
                  <c:v>-13.783166599635244</c:v>
                </c:pt>
                <c:pt idx="44">
                  <c:v>-13.457845455871171</c:v>
                </c:pt>
                <c:pt idx="45">
                  <c:v>-13.128913926199649</c:v>
                </c:pt>
                <c:pt idx="46">
                  <c:v>-12.796472991718746</c:v>
                </c:pt>
                <c:pt idx="47">
                  <c:v>-12.460623694296386</c:v>
                </c:pt>
                <c:pt idx="48">
                  <c:v>-12.121467107767325</c:v>
                </c:pt>
                <c:pt idx="49">
                  <c:v>-11.779104311429272</c:v>
                </c:pt>
                <c:pt idx="50">
                  <c:v>-11.433636365786711</c:v>
                </c:pt>
                <c:pt idx="51">
                  <c:v>-11.085164290487159</c:v>
                </c:pt>
                <c:pt idx="52">
                  <c:v>-10.733789044391836</c:v>
                </c:pt>
                <c:pt idx="53">
                  <c:v>-10.379611507719856</c:v>
                </c:pt>
                <c:pt idx="54">
                  <c:v>-10.022732466202818</c:v>
                </c:pt>
                <c:pt idx="55">
                  <c:v>-9.6632525971845808</c:v>
                </c:pt>
                <c:pt idx="56">
                  <c:v>-9.3012724575994348</c:v>
                </c:pt>
                <c:pt idx="57">
                  <c:v>-8.9368924737605084</c:v>
                </c:pt>
                <c:pt idx="58">
                  <c:v>-8.5702129328889409</c:v>
                </c:pt>
                <c:pt idx="59">
                  <c:v>-8.2013339763137303</c:v>
                </c:pt>
                <c:pt idx="60">
                  <c:v>-7.8303555942712988</c:v>
                </c:pt>
                <c:pt idx="61">
                  <c:v>-7.4573776222335315</c:v>
                </c:pt>
                <c:pt idx="62">
                  <c:v>-7.0824997386925368</c:v>
                </c:pt>
                <c:pt idx="63">
                  <c:v>-6.7058214643305396</c:v>
                </c:pt>
                <c:pt idx="64">
                  <c:v>-6.3274421625031128</c:v>
                </c:pt>
                <c:pt idx="65">
                  <c:v>-5.9474610409640727</c:v>
                </c:pt>
                <c:pt idx="66">
                  <c:v>-5.5659771547608354</c:v>
                </c:pt>
                <c:pt idx="67">
                  <c:v>-5.1830894102290426</c:v>
                </c:pt>
                <c:pt idx="68">
                  <c:v>-4.7988965700157795</c:v>
                </c:pt>
                <c:pt idx="69">
                  <c:v>-4.4134972590612414</c:v>
                </c:pt>
                <c:pt idx="70">
                  <c:v>-4.0269899714689554</c:v>
                </c:pt>
                <c:pt idx="71">
                  <c:v>-3.6394730781952793</c:v>
                </c:pt>
                <c:pt idx="72">
                  <c:v>-3.2510448354893922</c:v>
                </c:pt>
                <c:pt idx="73">
                  <c:v>-2.8618033940155159</c:v>
                </c:pt>
                <c:pt idx="74">
                  <c:v>-2.4718468085894516</c:v>
                </c:pt>
                <c:pt idx="75">
                  <c:v>-2.0812730484621302</c:v>
                </c:pt>
                <c:pt idx="76">
                  <c:v>-1.6901800080834291</c:v>
                </c:pt>
                <c:pt idx="77">
                  <c:v>-1.2986655182793552</c:v>
                </c:pt>
                <c:pt idx="78">
                  <c:v>-0.90682735777695611</c:v>
                </c:pt>
                <c:pt idx="79">
                  <c:v>-0.51476326501071212</c:v>
                </c:pt>
                <c:pt idx="80">
                  <c:v>-0.12257095014506882</c:v>
                </c:pt>
                <c:pt idx="81">
                  <c:v>0.26965189275232671</c:v>
                </c:pt>
                <c:pt idx="82">
                  <c:v>0.66180757345192587</c:v>
                </c:pt>
                <c:pt idx="83">
                  <c:v>1.0537983932831796</c:v>
                </c:pt>
                <c:pt idx="84">
                  <c:v>1.4455266329002587</c:v>
                </c:pt>
                <c:pt idx="85">
                  <c:v>1.8368945401576811</c:v>
                </c:pt>
                <c:pt idx="86">
                  <c:v>2.2278043181611729</c:v>
                </c:pt>
                <c:pt idx="87">
                  <c:v>2.6181581135590908</c:v>
                </c:pt>
                <c:pt idx="88">
                  <c:v>3.0078580051402644</c:v>
                </c:pt>
                <c:pt idx="89">
                  <c:v>3.3968059928039533</c:v>
                </c:pt>
                <c:pt idx="90">
                  <c:v>3.7849039869684016</c:v>
                </c:pt>
                <c:pt idx="91">
                  <c:v>4.1720537984844945</c:v>
                </c:pt>
                <c:pt idx="92">
                  <c:v>4.5581571291217395</c:v>
                </c:pt>
                <c:pt idx="93">
                  <c:v>4.9431155626938006</c:v>
                </c:pt>
                <c:pt idx="94">
                  <c:v>5.3268305568920482</c:v>
                </c:pt>
                <c:pt idx="95">
                  <c:v>5.7092034358950841</c:v>
                </c:pt>
                <c:pt idx="96">
                  <c:v>6.0901353838236334</c:v>
                </c:pt>
                <c:pt idx="97">
                  <c:v>6.4695274391100988</c:v>
                </c:pt>
                <c:pt idx="98">
                  <c:v>6.8472804898527881</c:v>
                </c:pt>
                <c:pt idx="99">
                  <c:v>7.2232952702252096</c:v>
                </c:pt>
                <c:pt idx="100">
                  <c:v>7.5974723580113048</c:v>
                </c:pt>
                <c:pt idx="101">
                  <c:v>7.9697121733377907</c:v>
                </c:pt>
                <c:pt idx="102">
                  <c:v>8.3399149786750293</c:v>
                </c:pt>
                <c:pt idx="103">
                  <c:v>8.7079808801781748</c:v>
                </c:pt>
                <c:pt idx="104">
                  <c:v>9.0738098304402275</c:v>
                </c:pt>
                <c:pt idx="105">
                  <c:v>9.4373016327288504</c:v>
                </c:pt>
                <c:pt idx="106">
                  <c:v>9.7983559467783206</c:v>
                </c:pt>
                <c:pt idx="107">
                  <c:v>10.156872296207926</c:v>
                </c:pt>
                <c:pt idx="108">
                  <c:v>10.512750077637381</c:v>
                </c:pt>
                <c:pt idx="109">
                  <c:v>10.865888571569217</c:v>
                </c:pt>
                <c:pt idx="110">
                  <c:v>11.216186955107037</c:v>
                </c:pt>
                <c:pt idx="111">
                  <c:v>11.563544316577484</c:v>
                </c:pt>
                <c:pt idx="112">
                  <c:v>11.907859672121972</c:v>
                </c:pt>
                <c:pt idx="113">
                  <c:v>12.24903198432283</c:v>
                </c:pt>
                <c:pt idx="114">
                  <c:v>12.586960182925983</c:v>
                </c:pt>
                <c:pt idx="115">
                  <c:v>12.921543187720248</c:v>
                </c:pt>
                <c:pt idx="116">
                  <c:v>13.252679933630134</c:v>
                </c:pt>
                <c:pt idx="117">
                  <c:v>13.580269398075966</c:v>
                </c:pt>
                <c:pt idx="118">
                  <c:v>13.904210630651781</c:v>
                </c:pt>
                <c:pt idx="119">
                  <c:v>14.22440278516676</c:v>
                </c:pt>
                <c:pt idx="120">
                  <c:v>14.540745154092237</c:v>
                </c:pt>
                <c:pt idx="121">
                  <c:v>14.853137205450604</c:v>
                </c:pt>
                <c:pt idx="122">
                  <c:v>15.161478622177581</c:v>
                </c:pt>
                <c:pt idx="123">
                  <c:v>15.465669343982878</c:v>
                </c:pt>
                <c:pt idx="124">
                  <c:v>15.76560961172834</c:v>
                </c:pt>
                <c:pt idx="125">
                  <c:v>16.061200014334968</c:v>
                </c:pt>
                <c:pt idx="126">
                  <c:v>16.352341538223602</c:v>
                </c:pt>
                <c:pt idx="127">
                  <c:v>16.638935619285181</c:v>
                </c:pt>
                <c:pt idx="128">
                  <c:v>16.920884197368665</c:v>
                </c:pt>
                <c:pt idx="129">
                  <c:v>17.198089773265259</c:v>
                </c:pt>
                <c:pt idx="130">
                  <c:v>17.470455468158168</c:v>
                </c:pt>
                <c:pt idx="131">
                  <c:v>17.737885085497254</c:v>
                </c:pt>
                <c:pt idx="132">
                  <c:v>18.000283175247421</c:v>
                </c:pt>
                <c:pt idx="133">
                  <c:v>18.257555100448652</c:v>
                </c:pt>
                <c:pt idx="134">
                  <c:v>18.509607106014514</c:v>
                </c:pt>
                <c:pt idx="135">
                  <c:v>18.756346389684435</c:v>
                </c:pt>
                <c:pt idx="136">
                  <c:v>18.997681175033033</c:v>
                </c:pt>
                <c:pt idx="137">
                  <c:v>19.233520786427768</c:v>
                </c:pt>
                <c:pt idx="138">
                  <c:v>19.463775725814049</c:v>
                </c:pt>
                <c:pt idx="139">
                  <c:v>19.688357751194562</c:v>
                </c:pt>
                <c:pt idx="140">
                  <c:v>19.907179956656957</c:v>
                </c:pt>
                <c:pt idx="141">
                  <c:v>20.120156853792135</c:v>
                </c:pt>
                <c:pt idx="142">
                  <c:v>20.327204454332865</c:v>
                </c:pt>
                <c:pt idx="143">
                  <c:v>20.528240353830686</c:v>
                </c:pt>
                <c:pt idx="144">
                  <c:v>20.723183816177304</c:v>
                </c:pt>
                <c:pt idx="145">
                  <c:v>20.911955858765854</c:v>
                </c:pt>
                <c:pt idx="146">
                  <c:v>21.094479338075949</c:v>
                </c:pt>
                <c:pt idx="147">
                  <c:v>21.270679035457484</c:v>
                </c:pt>
                <c:pt idx="148">
                  <c:v>21.440481742877839</c:v>
                </c:pt>
                <c:pt idx="149">
                  <c:v>21.603816348389319</c:v>
                </c:pt>
                <c:pt idx="150">
                  <c:v>21.760613921065854</c:v>
                </c:pt>
                <c:pt idx="151">
                  <c:v>21.910807795151538</c:v>
                </c:pt>
                <c:pt idx="152">
                  <c:v>22.054333653158213</c:v>
                </c:pt>
                <c:pt idx="153">
                  <c:v>22.191129607645237</c:v>
                </c:pt>
                <c:pt idx="154">
                  <c:v>22.321136281411743</c:v>
                </c:pt>
                <c:pt idx="155">
                  <c:v>22.444296885829996</c:v>
                </c:pt>
                <c:pt idx="156">
                  <c:v>22.56055729704897</c:v>
                </c:pt>
                <c:pt idx="157">
                  <c:v>22.669866129798276</c:v>
                </c:pt>
                <c:pt idx="158">
                  <c:v>22.772174808525875</c:v>
                </c:pt>
                <c:pt idx="159">
                  <c:v>22.867437635607736</c:v>
                </c:pt>
                <c:pt idx="160">
                  <c:v>22.955611856373579</c:v>
                </c:pt>
                <c:pt idx="161">
                  <c:v>23.036657720700905</c:v>
                </c:pt>
                <c:pt idx="162">
                  <c:v>23.110538540939</c:v>
                </c:pt>
                <c:pt idx="163">
                  <c:v>23.177220745935426</c:v>
                </c:pt>
                <c:pt idx="164">
                  <c:v>23.236673930950062</c:v>
                </c:pt>
                <c:pt idx="165">
                  <c:v>23.288870903256001</c:v>
                </c:pt>
                <c:pt idx="166">
                  <c:v>23.333787723241823</c:v>
                </c:pt>
                <c:pt idx="167">
                  <c:v>23.371403740846358</c:v>
                </c:pt>
                <c:pt idx="168">
                  <c:v>23.401701627175257</c:v>
                </c:pt>
                <c:pt idx="169">
                  <c:v>23.424667401167472</c:v>
                </c:pt>
                <c:pt idx="170">
                  <c:v>23.440290451199715</c:v>
                </c:pt>
                <c:pt idx="171">
                  <c:v>23.448563551537937</c:v>
                </c:pt>
                <c:pt idx="172">
                  <c:v>23.449482873566001</c:v>
                </c:pt>
                <c:pt idx="173">
                  <c:v>23.443047991744077</c:v>
                </c:pt>
                <c:pt idx="174">
                  <c:v>23.429261884271188</c:v>
                </c:pt>
                <c:pt idx="175">
                  <c:v>23.408130928449392</c:v>
                </c:pt>
                <c:pt idx="176">
                  <c:v>23.379664890768971</c:v>
                </c:pt>
                <c:pt idx="177">
                  <c:v>23.343876911757082</c:v>
                </c:pt>
                <c:pt idx="178">
                  <c:v>23.300783485653739</c:v>
                </c:pt>
                <c:pt idx="179">
                  <c:v>23.250404435001201</c:v>
                </c:pt>
                <c:pt idx="180">
                  <c:v>23.192762880253323</c:v>
                </c:pt>
                <c:pt idx="181">
                  <c:v>23.127885204531886</c:v>
                </c:pt>
                <c:pt idx="182">
                  <c:v>23.055801013676099</c:v>
                </c:pt>
                <c:pt idx="183">
                  <c:v>22.97654309174963</c:v>
                </c:pt>
                <c:pt idx="184">
                  <c:v>22.890147352186524</c:v>
                </c:pt>
                <c:pt idx="185">
                  <c:v>22.796652784773237</c:v>
                </c:pt>
                <c:pt idx="186">
                  <c:v>22.696101398678202</c:v>
                </c:pt>
                <c:pt idx="187">
                  <c:v>22.588538161753284</c:v>
                </c:pt>
                <c:pt idx="188">
                  <c:v>22.47401093634312</c:v>
                </c:pt>
                <c:pt idx="189">
                  <c:v>22.352570411847733</c:v>
                </c:pt>
                <c:pt idx="190">
                  <c:v>22.224270034292488</c:v>
                </c:pt>
                <c:pt idx="191">
                  <c:v>22.089165933165862</c:v>
                </c:pt>
                <c:pt idx="192">
                  <c:v>21.947316845790652</c:v>
                </c:pt>
                <c:pt idx="193">
                  <c:v>21.798784039497594</c:v>
                </c:pt>
                <c:pt idx="194">
                  <c:v>21.643631231872426</c:v>
                </c:pt>
                <c:pt idx="195">
                  <c:v>21.481924509347632</c:v>
                </c:pt>
                <c:pt idx="196">
                  <c:v>21.313732244409152</c:v>
                </c:pt>
                <c:pt idx="197">
                  <c:v>21.139125011685731</c:v>
                </c:pt>
                <c:pt idx="198">
                  <c:v>20.958175503184943</c:v>
                </c:pt>
                <c:pt idx="199">
                  <c:v>20.770958442934624</c:v>
                </c:pt>
                <c:pt idx="200">
                  <c:v>20.57755050128246</c:v>
                </c:pt>
                <c:pt idx="201">
                  <c:v>20.378030209099016</c:v>
                </c:pt>
                <c:pt idx="202">
                  <c:v>20.172477872121402</c:v>
                </c:pt>
                <c:pt idx="203">
                  <c:v>19.960975485665472</c:v>
                </c:pt>
                <c:pt idx="204">
                  <c:v>19.743606649924885</c:v>
                </c:pt>
                <c:pt idx="205">
                  <c:v>19.520456486064422</c:v>
                </c:pt>
                <c:pt idx="206">
                  <c:v>19.291611553304222</c:v>
                </c:pt>
                <c:pt idx="207">
                  <c:v>19.057159767180082</c:v>
                </c:pt>
                <c:pt idx="208">
                  <c:v>18.817190319152772</c:v>
                </c:pt>
                <c:pt idx="209">
                  <c:v>18.571793597727499</c:v>
                </c:pt>
                <c:pt idx="210">
                  <c:v>18.321061111232268</c:v>
                </c:pt>
                <c:pt idx="211">
                  <c:v>18.065085412391554</c:v>
                </c:pt>
                <c:pt idx="212">
                  <c:v>17.803960024819165</c:v>
                </c:pt>
                <c:pt idx="213">
                  <c:v>17.537779371542268</c:v>
                </c:pt>
                <c:pt idx="214">
                  <c:v>17.266638705655978</c:v>
                </c:pt>
                <c:pt idx="215">
                  <c:v>16.990634043196398</c:v>
                </c:pt>
                <c:pt idx="216">
                  <c:v>16.709862098308065</c:v>
                </c:pt>
                <c:pt idx="217">
                  <c:v>16.424420220770724</c:v>
                </c:pt>
                <c:pt idx="218">
                  <c:v>16.134406335939023</c:v>
                </c:pt>
                <c:pt idx="219">
                  <c:v>15.839918887138678</c:v>
                </c:pt>
                <c:pt idx="220">
                  <c:v>15.541056780552202</c:v>
                </c:pt>
                <c:pt idx="221">
                  <c:v>15.237919332617594</c:v>
                </c:pt>
                <c:pt idx="222">
                  <c:v>14.930606219954754</c:v>
                </c:pt>
                <c:pt idx="223">
                  <c:v>14.619217431824989</c:v>
                </c:pt>
                <c:pt idx="224">
                  <c:v>14.303853225121603</c:v>
                </c:pt>
                <c:pt idx="225">
                  <c:v>13.984614081881311</c:v>
                </c:pt>
                <c:pt idx="226">
                  <c:v>13.661600669299453</c:v>
                </c:pt>
                <c:pt idx="227">
                  <c:v>13.334913802225538</c:v>
                </c:pt>
                <c:pt idx="228">
                  <c:v>13.004654408108895</c:v>
                </c:pt>
                <c:pt idx="229">
                  <c:v>12.670923494359647</c:v>
                </c:pt>
                <c:pt idx="230">
                  <c:v>12.333822118084077</c:v>
                </c:pt>
                <c:pt idx="231">
                  <c:v>11.993451358149549</c:v>
                </c:pt>
                <c:pt idx="232">
                  <c:v>11.649912289529855</c:v>
                </c:pt>
                <c:pt idx="233">
                  <c:v>11.303305959877775</c:v>
                </c:pt>
                <c:pt idx="234">
                  <c:v>10.953733368268725</c:v>
                </c:pt>
                <c:pt idx="235">
                  <c:v>10.601295446056195</c:v>
                </c:pt>
                <c:pt idx="236">
                  <c:v>10.246093039777495</c:v>
                </c:pt>
                <c:pt idx="237">
                  <c:v>9.8882268960453157</c:v>
                </c:pt>
                <c:pt idx="238">
                  <c:v>9.5277976483600852</c:v>
                </c:pt>
                <c:pt idx="239">
                  <c:v>9.1649058057747634</c:v>
                </c:pt>
                <c:pt idx="240">
                  <c:v>8.7996517433444073</c:v>
                </c:pt>
                <c:pt idx="241">
                  <c:v>8.4321356942899914</c:v>
                </c:pt>
                <c:pt idx="242">
                  <c:v>8.0624577438065845</c:v>
                </c:pt>
                <c:pt idx="243">
                  <c:v>7.6907178244444161</c:v>
                </c:pt>
                <c:pt idx="244">
                  <c:v>7.3170157129915934</c:v>
                </c:pt>
                <c:pt idx="245">
                  <c:v>6.9414510287866698</c:v>
                </c:pt>
                <c:pt idx="246">
                  <c:v>6.564123233389509</c:v>
                </c:pt>
                <c:pt idx="247">
                  <c:v>6.1851316315384643</c:v>
                </c:pt>
                <c:pt idx="248">
                  <c:v>5.8045753733225904</c:v>
                </c:pt>
                <c:pt idx="249">
                  <c:v>5.4225534574974379</c:v>
                </c:pt>
                <c:pt idx="250">
                  <c:v>5.0391647358737881</c:v>
                </c:pt>
                <c:pt idx="251">
                  <c:v>4.6545079187084557</c:v>
                </c:pt>
                <c:pt idx="252">
                  <c:v>4.2686815810272254</c:v>
                </c:pt>
                <c:pt idx="253">
                  <c:v>3.881784169810552</c:v>
                </c:pt>
                <c:pt idx="254">
                  <c:v>3.4939140119723788</c:v>
                </c:pt>
                <c:pt idx="255">
                  <c:v>3.1051693230640454</c:v>
                </c:pt>
                <c:pt idx="256">
                  <c:v>2.7156482166348184</c:v>
                </c:pt>
                <c:pt idx="257">
                  <c:v>2.325448714181289</c:v>
                </c:pt>
                <c:pt idx="258">
                  <c:v>1.9346687556189415</c:v>
                </c:pt>
                <c:pt idx="259">
                  <c:v>1.5434062102087636</c:v>
                </c:pt>
                <c:pt idx="260">
                  <c:v>1.1517588878725631</c:v>
                </c:pt>
                <c:pt idx="261">
                  <c:v>0.75982455083102673</c:v>
                </c:pt>
                <c:pt idx="262">
                  <c:v>0.36770092549900402</c:v>
                </c:pt>
                <c:pt idx="263">
                  <c:v>-2.4514285427965798E-2</c:v>
                </c:pt>
                <c:pt idx="264">
                  <c:v>-0.41672339076060438</c:v>
                </c:pt>
                <c:pt idx="265">
                  <c:v>-0.80882869854189254</c:v>
                </c:pt>
                <c:pt idx="266">
                  <c:v>-1.2007325037773402</c:v>
                </c:pt>
                <c:pt idx="267">
                  <c:v>-1.5923370762340485</c:v>
                </c:pt>
                <c:pt idx="268">
                  <c:v>-1.9835446483745747</c:v>
                </c:pt>
                <c:pt idx="269">
                  <c:v>-2.3742574034901658</c:v>
                </c:pt>
                <c:pt idx="270">
                  <c:v>-2.7643774640995682</c:v>
                </c:pt>
                <c:pt idx="271">
                  <c:v>-3.1538068806784105</c:v>
                </c:pt>
                <c:pt idx="272">
                  <c:v>-3.5424476207861288</c:v>
                </c:pt>
                <c:pt idx="273">
                  <c:v>-3.9302015586559733</c:v>
                </c:pt>
                <c:pt idx="274">
                  <c:v>-4.3169704653152783</c:v>
                </c:pt>
                <c:pt idx="275">
                  <c:v>-4.7026559993036026</c:v>
                </c:pt>
                <c:pt idx="276">
                  <c:v>-5.0871596980555713</c:v>
                </c:pt>
                <c:pt idx="277">
                  <c:v>-5.4703829700174076</c:v>
                </c:pt>
                <c:pt idx="278">
                  <c:v>-5.852227087565435</c:v>
                </c:pt>
                <c:pt idx="279">
                  <c:v>-6.2325931807957629</c:v>
                </c:pt>
                <c:pt idx="280">
                  <c:v>-6.6113822322547238</c:v>
                </c:pt>
                <c:pt idx="281">
                  <c:v>-6.9884950726807222</c:v>
                </c:pt>
                <c:pt idx="282">
                  <c:v>-7.3638323778273227</c:v>
                </c:pt>
                <c:pt idx="283">
                  <c:v>-7.7372946664389044</c:v>
                </c:pt>
                <c:pt idx="284">
                  <c:v>-8.108782299450592</c:v>
                </c:pt>
                <c:pt idx="285">
                  <c:v>-8.4781954804830875</c:v>
                </c:pt>
                <c:pt idx="286">
                  <c:v>-8.8454342577049623</c:v>
                </c:pt>
                <c:pt idx="287">
                  <c:v>-9.2103985271337834</c:v>
                </c:pt>
                <c:pt idx="288">
                  <c:v>-9.5729880374476242</c:v>
                </c:pt>
                <c:pt idx="289">
                  <c:v>-9.9331023963786613</c:v>
                </c:pt>
                <c:pt idx="290">
                  <c:v>-10.29064107875978</c:v>
                </c:pt>
                <c:pt idx="291">
                  <c:v>-10.645503436294337</c:v>
                </c:pt>
                <c:pt idx="292">
                  <c:v>-10.997588709119055</c:v>
                </c:pt>
                <c:pt idx="293">
                  <c:v>-11.346796039228289</c:v>
                </c:pt>
                <c:pt idx="294">
                  <c:v>-11.693024485827015</c:v>
                </c:pt>
                <c:pt idx="295">
                  <c:v>-12.036173042677945</c:v>
                </c:pt>
                <c:pt idx="296">
                  <c:v>-12.376140657506786</c:v>
                </c:pt>
                <c:pt idx="297">
                  <c:v>-12.712826253526723</c:v>
                </c:pt>
                <c:pt idx="298">
                  <c:v>-13.046128753141179</c:v>
                </c:pt>
                <c:pt idx="299">
                  <c:v>-13.375947103880939</c:v>
                </c:pt>
                <c:pt idx="300">
                  <c:v>-13.702180306627628</c:v>
                </c:pt>
                <c:pt idx="301">
                  <c:v>-14.024727446172735</c:v>
                </c:pt>
                <c:pt idx="302">
                  <c:v>-14.343487724156574</c:v>
                </c:pt>
                <c:pt idx="303">
                  <c:v>-14.658360494427001</c:v>
                </c:pt>
                <c:pt idx="304">
                  <c:v>-14.969245300852403</c:v>
                </c:pt>
                <c:pt idx="305">
                  <c:v>-15.276041917618368</c:v>
                </c:pt>
                <c:pt idx="306">
                  <c:v>-15.578650392030438</c:v>
                </c:pt>
                <c:pt idx="307">
                  <c:v>-15.876971089839607</c:v>
                </c:pt>
                <c:pt idx="308">
                  <c:v>-16.170904743099495</c:v>
                </c:pt>
                <c:pt idx="309">
                  <c:v>-16.460352500556379</c:v>
                </c:pt>
                <c:pt idx="310">
                  <c:v>-16.745215980565508</c:v>
                </c:pt>
                <c:pt idx="311">
                  <c:v>-17.025397326518139</c:v>
                </c:pt>
                <c:pt idx="312">
                  <c:v>-17.300799264754477</c:v>
                </c:pt>
                <c:pt idx="313">
                  <c:v>-17.571325164928069</c:v>
                </c:pt>
                <c:pt idx="314">
                  <c:v>-17.836879102777168</c:v>
                </c:pt>
                <c:pt idx="315">
                  <c:v>-18.097365925247917</c:v>
                </c:pt>
                <c:pt idx="316">
                  <c:v>-18.35269131790286</c:v>
                </c:pt>
                <c:pt idx="317">
                  <c:v>-18.602761874537862</c:v>
                </c:pt>
                <c:pt idx="318">
                  <c:v>-18.847485168917647</c:v>
                </c:pt>
                <c:pt idx="319">
                  <c:v>-19.086769828529054</c:v>
                </c:pt>
                <c:pt idx="320">
                  <c:v>-19.32052561023902</c:v>
                </c:pt>
                <c:pt idx="321">
                  <c:v>-19.548663477731203</c:v>
                </c:pt>
                <c:pt idx="322">
                  <c:v>-19.771095680583592</c:v>
                </c:pt>
                <c:pt idx="323">
                  <c:v>-19.987735834836993</c:v>
                </c:pt>
                <c:pt idx="324">
                  <c:v>-20.198499004891428</c:v>
                </c:pt>
                <c:pt idx="325">
                  <c:v>-20.403301786556099</c:v>
                </c:pt>
                <c:pt idx="326">
                  <c:v>-20.602062391066308</c:v>
                </c:pt>
                <c:pt idx="327">
                  <c:v>-20.794700729869426</c:v>
                </c:pt>
                <c:pt idx="328">
                  <c:v>-20.981138499970765</c:v>
                </c:pt>
                <c:pt idx="329">
                  <c:v>-21.161299269620287</c:v>
                </c:pt>
                <c:pt idx="330">
                  <c:v>-21.33510856411058</c:v>
                </c:pt>
                <c:pt idx="331">
                  <c:v>-21.502493951448098</c:v>
                </c:pt>
                <c:pt idx="332">
                  <c:v>-21.663385127651399</c:v>
                </c:pt>
                <c:pt idx="333">
                  <c:v>-21.817714001422736</c:v>
                </c:pt>
                <c:pt idx="334">
                  <c:v>-21.965414777933507</c:v>
                </c:pt>
                <c:pt idx="335">
                  <c:v>-22.106424041459199</c:v>
                </c:pt>
                <c:pt idx="336">
                  <c:v>-22.240680836595459</c:v>
                </c:pt>
                <c:pt idx="337">
                  <c:v>-22.36812674778513</c:v>
                </c:pt>
                <c:pt idx="338">
                  <c:v>-22.488705976884692</c:v>
                </c:pt>
                <c:pt idx="339">
                  <c:v>-22.602365418499357</c:v>
                </c:pt>
                <c:pt idx="340">
                  <c:v>-22.709054732818299</c:v>
                </c:pt>
                <c:pt idx="341">
                  <c:v>-22.808726415684671</c:v>
                </c:pt>
                <c:pt idx="342">
                  <c:v>-22.901335865640885</c:v>
                </c:pt>
                <c:pt idx="343">
                  <c:v>-22.986841447696033</c:v>
                </c:pt>
                <c:pt idx="344">
                  <c:v>-23.065204553571107</c:v>
                </c:pt>
                <c:pt idx="345">
                  <c:v>-23.136389658187341</c:v>
                </c:pt>
                <c:pt idx="346">
                  <c:v>-23.20036437217502</c:v>
                </c:pt>
                <c:pt idx="347">
                  <c:v>-23.257099490192903</c:v>
                </c:pt>
                <c:pt idx="348">
                  <c:v>-23.3065690348629</c:v>
                </c:pt>
                <c:pt idx="349">
                  <c:v>-23.348750296140924</c:v>
                </c:pt>
                <c:pt idx="350">
                  <c:v>-23.3836238659615</c:v>
                </c:pt>
                <c:pt idx="351">
                  <c:v>-23.411173668012438</c:v>
                </c:pt>
                <c:pt idx="352">
                  <c:v>-23.431386982515093</c:v>
                </c:pt>
                <c:pt idx="353">
                  <c:v>-23.444254465905949</c:v>
                </c:pt>
                <c:pt idx="354">
                  <c:v>-23.449770165336595</c:v>
                </c:pt>
                <c:pt idx="355">
                  <c:v>-23.447931527930365</c:v>
                </c:pt>
                <c:pt idx="356">
                  <c:v>-23.438739404756603</c:v>
                </c:pt>
                <c:pt idx="357">
                  <c:v>-23.422198049505461</c:v>
                </c:pt>
                <c:pt idx="358">
                  <c:v>-23.398315111868861</c:v>
                </c:pt>
                <c:pt idx="359">
                  <c:v>-23.367101625655927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6-4D29-8A0E-49F17593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232224"/>
        <c:axId val="2107238944"/>
      </c:scatterChart>
      <c:valAx>
        <c:axId val="21072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38944"/>
        <c:crosses val="autoZero"/>
        <c:crossBetween val="midCat"/>
      </c:valAx>
      <c:valAx>
        <c:axId val="21072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3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Hora do</a:t>
            </a:r>
            <a:r>
              <a:rPr lang="pt-BR" baseline="0"/>
              <a:t> pôr do Sol contado a partir da hora zero ao meiodia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Planilha1!$V$6:$V$370</c:f>
              <c:numCache>
                <c:formatCode>General</c:formatCode>
                <c:ptCount val="365"/>
                <c:pt idx="0">
                  <c:v>6.2686904391853071</c:v>
                </c:pt>
                <c:pt idx="1">
                  <c:v>6.2675979619308455</c:v>
                </c:pt>
                <c:pt idx="2">
                  <c:v>6.2664142099387714</c:v>
                </c:pt>
                <c:pt idx="3">
                  <c:v>6.2651400835609214</c:v>
                </c:pt>
                <c:pt idx="4">
                  <c:v>6.2637765433915824</c:v>
                </c:pt>
                <c:pt idx="5">
                  <c:v>6.2623246077567334</c:v>
                </c:pt>
                <c:pt idx="6">
                  <c:v>6.2607853500899404</c:v>
                </c:pt>
                <c:pt idx="7">
                  <c:v>6.2591598962082085</c:v>
                </c:pt>
                <c:pt idx="8">
                  <c:v>6.2574494215013292</c:v>
                </c:pt>
                <c:pt idx="9">
                  <c:v>6.2556551480483824</c:v>
                </c:pt>
                <c:pt idx="10">
                  <c:v>6.2537783416750603</c:v>
                </c:pt>
                <c:pt idx="11">
                  <c:v>6.2518203089653914</c:v>
                </c:pt>
                <c:pt idx="12">
                  <c:v>6.2497823942412989</c:v>
                </c:pt>
                <c:pt idx="13">
                  <c:v>6.2476659765231384</c:v>
                </c:pt>
                <c:pt idx="14">
                  <c:v>6.2454724664840091</c:v>
                </c:pt>
                <c:pt idx="15">
                  <c:v>6.2432033034102403</c:v>
                </c:pt>
                <c:pt idx="16">
                  <c:v>6.2408599521799575</c:v>
                </c:pt>
                <c:pt idx="17">
                  <c:v>6.2384439002710455</c:v>
                </c:pt>
                <c:pt idx="18">
                  <c:v>6.2359566548092955</c:v>
                </c:pt>
                <c:pt idx="19">
                  <c:v>6.2333997396668233</c:v>
                </c:pt>
                <c:pt idx="20">
                  <c:v>6.2307746926201633</c:v>
                </c:pt>
                <c:pt idx="21">
                  <c:v>6.2280830625767782</c:v>
                </c:pt>
                <c:pt idx="22">
                  <c:v>6.2253264068779401</c:v>
                </c:pt>
                <c:pt idx="23">
                  <c:v>6.2225062886852252</c:v>
                </c:pt>
                <c:pt idx="24">
                  <c:v>6.2196242744570975</c:v>
                </c:pt>
                <c:pt idx="25">
                  <c:v>6.2166819315213155</c:v>
                </c:pt>
                <c:pt idx="26">
                  <c:v>6.2136808257481553</c:v>
                </c:pt>
                <c:pt idx="27">
                  <c:v>6.2106225193286759</c:v>
                </c:pt>
                <c:pt idx="28">
                  <c:v>6.2075085686615976</c:v>
                </c:pt>
                <c:pt idx="29">
                  <c:v>6.204340522351619</c:v>
                </c:pt>
                <c:pt idx="30">
                  <c:v>6.2011199193213447</c:v>
                </c:pt>
                <c:pt idx="31">
                  <c:v>6.1978482870383989</c:v>
                </c:pt>
                <c:pt idx="32">
                  <c:v>6.1945271398586197</c:v>
                </c:pt>
                <c:pt idx="33">
                  <c:v>6.191157977485731</c:v>
                </c:pt>
                <c:pt idx="34">
                  <c:v>6.1877422835473244</c:v>
                </c:pt>
                <c:pt idx="35">
                  <c:v>6.1842815242864777</c:v>
                </c:pt>
                <c:pt idx="36">
                  <c:v>6.1807771473679285</c:v>
                </c:pt>
                <c:pt idx="37">
                  <c:v>6.1772305807972341</c:v>
                </c:pt>
                <c:pt idx="38">
                  <c:v>6.1736432319510559</c:v>
                </c:pt>
                <c:pt idx="39">
                  <c:v>6.1700164867162943</c:v>
                </c:pt>
                <c:pt idx="40">
                  <c:v>6.166351708735557</c:v>
                </c:pt>
                <c:pt idx="41">
                  <c:v>6.1626502387561599</c:v>
                </c:pt>
                <c:pt idx="42">
                  <c:v>6.1589133940796241</c:v>
                </c:pt>
                <c:pt idx="43">
                  <c:v>6.1551424681084699</c:v>
                </c:pt>
                <c:pt idx="44">
                  <c:v>6.15133872998695</c:v>
                </c:pt>
                <c:pt idx="45">
                  <c:v>6.1475034243322</c:v>
                </c:pt>
                <c:pt idx="46">
                  <c:v>6.1436377710522567</c:v>
                </c:pt>
                <c:pt idx="47">
                  <c:v>6.1397429652472599</c:v>
                </c:pt>
                <c:pt idx="48">
                  <c:v>6.1358201771901708</c:v>
                </c:pt>
                <c:pt idx="49">
                  <c:v>6.1318705523832708</c:v>
                </c:pt>
                <c:pt idx="50">
                  <c:v>6.1278952116867629</c:v>
                </c:pt>
                <c:pt idx="51">
                  <c:v>6.1238952515157585</c:v>
                </c:pt>
                <c:pt idx="52">
                  <c:v>6.119871744102042</c:v>
                </c:pt>
                <c:pt idx="53">
                  <c:v>6.1158257378170129</c:v>
                </c:pt>
                <c:pt idx="54">
                  <c:v>6.1117582575522835</c:v>
                </c:pt>
                <c:pt idx="55">
                  <c:v>6.1076703051545325</c:v>
                </c:pt>
                <c:pt idx="56">
                  <c:v>6.1035628599112401</c:v>
                </c:pt>
                <c:pt idx="57">
                  <c:v>6.0994368790841031</c:v>
                </c:pt>
                <c:pt idx="58">
                  <c:v>6.095293298486979</c:v>
                </c:pt>
                <c:pt idx="59">
                  <c:v>6.091133033105371</c:v>
                </c:pt>
                <c:pt idx="60">
                  <c:v>6.0869569777545376</c:v>
                </c:pt>
                <c:pt idx="61">
                  <c:v>6.0827660077734578</c:v>
                </c:pt>
                <c:pt idx="62">
                  <c:v>6.0785609797520284</c:v>
                </c:pt>
                <c:pt idx="63">
                  <c:v>6.0743427322889341</c:v>
                </c:pt>
                <c:pt idx="64">
                  <c:v>6.070112086777792</c:v>
                </c:pt>
                <c:pt idx="65">
                  <c:v>6.0658698482193172</c:v>
                </c:pt>
                <c:pt idx="66">
                  <c:v>6.0616168060572999</c:v>
                </c:pt>
                <c:pt idx="67">
                  <c:v>6.0573537350363846</c:v>
                </c:pt>
                <c:pt idx="68">
                  <c:v>6.0530813960797039</c:v>
                </c:pt>
                <c:pt idx="69">
                  <c:v>6.0488005371845226</c:v>
                </c:pt>
                <c:pt idx="70">
                  <c:v>6.0445118943341942</c:v>
                </c:pt>
                <c:pt idx="71">
                  <c:v>6.0402161924247872</c:v>
                </c:pt>
                <c:pt idx="72">
                  <c:v>6.0359141462048367</c:v>
                </c:pt>
                <c:pt idx="73">
                  <c:v>6.0316064612268034</c:v>
                </c:pt>
                <c:pt idx="74">
                  <c:v>6.0272938348088205</c:v>
                </c:pt>
                <c:pt idx="75">
                  <c:v>6.0229769570054739</c:v>
                </c:pt>
                <c:pt idx="76">
                  <c:v>6.0186565115863537</c:v>
                </c:pt>
                <c:pt idx="77">
                  <c:v>6.0143331770212036</c:v>
                </c:pt>
                <c:pt idx="78">
                  <c:v>6.0100076274705545</c:v>
                </c:pt>
                <c:pt idx="79">
                  <c:v>6.0056805337807253</c:v>
                </c:pt>
                <c:pt idx="80">
                  <c:v>6.0013525644821879</c:v>
                </c:pt>
                <c:pt idx="81">
                  <c:v>5.9970243867902191</c:v>
                </c:pt>
                <c:pt idx="82">
                  <c:v>5.9926966676068725</c:v>
                </c:pt>
                <c:pt idx="83">
                  <c:v>5.9883700745232495</c:v>
                </c:pt>
                <c:pt idx="84">
                  <c:v>5.9840452768211039</c:v>
                </c:pt>
                <c:pt idx="85">
                  <c:v>5.9797229464727462</c:v>
                </c:pt>
                <c:pt idx="86">
                  <c:v>5.9754037591382723</c:v>
                </c:pt>
                <c:pt idx="87">
                  <c:v>5.9710883951590477</c:v>
                </c:pt>
                <c:pt idx="88">
                  <c:v>5.9667775405464187</c:v>
                </c:pt>
                <c:pt idx="89">
                  <c:v>5.9624718879645213</c:v>
                </c:pt>
                <c:pt idx="90">
                  <c:v>5.9581721377060495</c:v>
                </c:pt>
                <c:pt idx="91">
                  <c:v>5.9538789986598157</c:v>
                </c:pt>
                <c:pt idx="92">
                  <c:v>5.9495931892687777</c:v>
                </c:pt>
                <c:pt idx="93">
                  <c:v>5.9453154384772802</c:v>
                </c:pt>
                <c:pt idx="94">
                  <c:v>5.9410464866660586</c:v>
                </c:pt>
                <c:pt idx="95">
                  <c:v>5.9367870865735481</c:v>
                </c:pt>
                <c:pt idx="96">
                  <c:v>5.9325380042019189</c:v>
                </c:pt>
                <c:pt idx="97">
                  <c:v>5.9283000197061728</c:v>
                </c:pt>
                <c:pt idx="98">
                  <c:v>5.9240739282645523</c:v>
                </c:pt>
                <c:pt idx="99">
                  <c:v>5.9198605409283811</c:v>
                </c:pt>
                <c:pt idx="100">
                  <c:v>5.915660685449347</c:v>
                </c:pt>
                <c:pt idx="101">
                  <c:v>5.9114752070821774</c:v>
                </c:pt>
                <c:pt idx="102">
                  <c:v>5.9073049693604638</c:v>
                </c:pt>
                <c:pt idx="103">
                  <c:v>5.903150854843294</c:v>
                </c:pt>
                <c:pt idx="104">
                  <c:v>5.8990137658303148</c:v>
                </c:pt>
                <c:pt idx="105">
                  <c:v>5.8948946250425491</c:v>
                </c:pt>
                <c:pt idx="106">
                  <c:v>5.8907943762663662</c:v>
                </c:pt>
                <c:pt idx="107">
                  <c:v>5.8867139849577317</c:v>
                </c:pt>
                <c:pt idx="108">
                  <c:v>5.8826544388038027</c:v>
                </c:pt>
                <c:pt idx="109">
                  <c:v>5.8786167482388514</c:v>
                </c:pt>
                <c:pt idx="110">
                  <c:v>5.8746019469112873</c:v>
                </c:pt>
                <c:pt idx="111">
                  <c:v>5.8706110920985743</c:v>
                </c:pt>
                <c:pt idx="112">
                  <c:v>5.8666452650666132</c:v>
                </c:pt>
                <c:pt idx="113">
                  <c:v>5.8627055713701441</c:v>
                </c:pt>
                <c:pt idx="114">
                  <c:v>5.8587931410906595</c:v>
                </c:pt>
                <c:pt idx="115">
                  <c:v>5.8549091290081678</c:v>
                </c:pt>
                <c:pt idx="116">
                  <c:v>5.8510547147031922</c:v>
                </c:pt>
                <c:pt idx="117">
                  <c:v>5.8472311025852806</c:v>
                </c:pt>
                <c:pt idx="118">
                  <c:v>5.8434395218443473</c:v>
                </c:pt>
                <c:pt idx="119">
                  <c:v>5.83968122632111</c:v>
                </c:pt>
                <c:pt idx="120">
                  <c:v>5.8359574942929582</c:v>
                </c:pt>
                <c:pt idx="121">
                  <c:v>5.83226962817161</c:v>
                </c:pt>
                <c:pt idx="122">
                  <c:v>5.8286189541090199</c:v>
                </c:pt>
                <c:pt idx="123">
                  <c:v>5.8250068215080821</c:v>
                </c:pt>
                <c:pt idx="124">
                  <c:v>5.8214346024348016</c:v>
                </c:pt>
                <c:pt idx="125">
                  <c:v>5.8179036909288095</c:v>
                </c:pt>
                <c:pt idx="126">
                  <c:v>5.8144155022092825</c:v>
                </c:pt>
                <c:pt idx="127">
                  <c:v>5.8109714717735317</c:v>
                </c:pt>
                <c:pt idx="128">
                  <c:v>5.8075730543858652</c:v>
                </c:pt>
                <c:pt idx="129">
                  <c:v>5.8042217229545763</c:v>
                </c:pt>
                <c:pt idx="130">
                  <c:v>5.800918967295325</c:v>
                </c:pt>
                <c:pt idx="131">
                  <c:v>5.7976662927794935</c:v>
                </c:pt>
                <c:pt idx="132">
                  <c:v>5.794465218866601</c:v>
                </c:pt>
                <c:pt idx="133">
                  <c:v>5.7913172775202986</c:v>
                </c:pt>
                <c:pt idx="134">
                  <c:v>5.7882240115079497</c:v>
                </c:pt>
                <c:pt idx="135">
                  <c:v>5.7851869725844098</c:v>
                </c:pt>
                <c:pt idx="136">
                  <c:v>5.782207719561141</c:v>
                </c:pt>
                <c:pt idx="137">
                  <c:v>5.7792878162624381</c:v>
                </c:pt>
                <c:pt idx="138">
                  <c:v>5.7764288293712225</c:v>
                </c:pt>
                <c:pt idx="139">
                  <c:v>5.7736323261674496</c:v>
                </c:pt>
                <c:pt idx="140">
                  <c:v>5.7708998721630032</c:v>
                </c:pt>
                <c:pt idx="141">
                  <c:v>5.768233028637523</c:v>
                </c:pt>
                <c:pt idx="142">
                  <c:v>5.7656333500805141</c:v>
                </c:pt>
                <c:pt idx="143">
                  <c:v>5.7631023815456803</c:v>
                </c:pt>
                <c:pt idx="144">
                  <c:v>5.7606416559242719</c:v>
                </c:pt>
                <c:pt idx="145">
                  <c:v>5.7582526911449712</c:v>
                </c:pt>
                <c:pt idx="146">
                  <c:v>5.7559369873085462</c:v>
                </c:pt>
                <c:pt idx="147">
                  <c:v>5.7536960237662811</c:v>
                </c:pt>
                <c:pt idx="148">
                  <c:v>5.7515312561518233</c:v>
                </c:pt>
                <c:pt idx="149">
                  <c:v>5.7494441133768417</c:v>
                </c:pt>
                <c:pt idx="150">
                  <c:v>5.7474359946014468</c:v>
                </c:pt>
                <c:pt idx="151">
                  <c:v>5.745508266190936</c:v>
                </c:pt>
                <c:pt idx="152">
                  <c:v>5.7436622586709758</c:v>
                </c:pt>
                <c:pt idx="153">
                  <c:v>5.7418992636937345</c:v>
                </c:pt>
                <c:pt idx="154">
                  <c:v>5.7402205310279593</c:v>
                </c:pt>
                <c:pt idx="155">
                  <c:v>5.7386272655862145</c:v>
                </c:pt>
                <c:pt idx="156">
                  <c:v>5.7371206245027908</c:v>
                </c:pt>
                <c:pt idx="157">
                  <c:v>5.735701714275927</c:v>
                </c:pt>
                <c:pt idx="158">
                  <c:v>5.7343715879879991</c:v>
                </c:pt>
                <c:pt idx="159">
                  <c:v>5.7331312426173175</c:v>
                </c:pt>
                <c:pt idx="160">
                  <c:v>5.7319816164549717</c:v>
                </c:pt>
                <c:pt idx="161">
                  <c:v>5.730923586639955</c:v>
                </c:pt>
                <c:pt idx="162">
                  <c:v>5.7299579668253751</c:v>
                </c:pt>
                <c:pt idx="163">
                  <c:v>5.7290855049881246</c:v>
                </c:pt>
                <c:pt idx="164">
                  <c:v>5.7283068813937748</c:v>
                </c:pt>
                <c:pt idx="165">
                  <c:v>5.7276227067278063</c:v>
                </c:pt>
                <c:pt idx="166">
                  <c:v>5.727033520403487</c:v>
                </c:pt>
                <c:pt idx="167">
                  <c:v>5.7265397890558436</c:v>
                </c:pt>
                <c:pt idx="168">
                  <c:v>5.7261419052302305</c:v>
                </c:pt>
                <c:pt idx="169">
                  <c:v>5.7258401862729462</c:v>
                </c:pt>
                <c:pt idx="170">
                  <c:v>5.7256348734302502</c:v>
                </c:pt>
                <c:pt idx="171">
                  <c:v>5.7255261311609775</c:v>
                </c:pt>
                <c:pt idx="172">
                  <c:v>5.7255140466667269</c:v>
                </c:pt>
                <c:pt idx="173">
                  <c:v>5.7255986296423478</c:v>
                </c:pt>
                <c:pt idx="174">
                  <c:v>5.7257798122481853</c:v>
                </c:pt>
                <c:pt idx="175">
                  <c:v>5.7260574493042364</c:v>
                </c:pt>
                <c:pt idx="176">
                  <c:v>5.7264313187050959</c:v>
                </c:pt>
                <c:pt idx="177">
                  <c:v>5.726901122053274</c:v>
                </c:pt>
                <c:pt idx="178">
                  <c:v>5.7274664855072128</c:v>
                </c:pt>
                <c:pt idx="179">
                  <c:v>5.7281269608391332</c:v>
                </c:pt>
                <c:pt idx="180">
                  <c:v>5.7288820266965983</c:v>
                </c:pt>
                <c:pt idx="181">
                  <c:v>5.7297310900606631</c:v>
                </c:pt>
                <c:pt idx="182">
                  <c:v>5.7306734878923073</c:v>
                </c:pt>
                <c:pt idx="183">
                  <c:v>5.7317084889579961</c:v>
                </c:pt>
                <c:pt idx="184">
                  <c:v>5.7328352958241977</c:v>
                </c:pt>
                <c:pt idx="185">
                  <c:v>5.7340530470099917</c:v>
                </c:pt>
                <c:pt idx="186">
                  <c:v>5.7353608192861376</c:v>
                </c:pt>
                <c:pt idx="187">
                  <c:v>5.7367576301083538</c:v>
                </c:pt>
                <c:pt idx="188">
                  <c:v>5.7382424401721401</c:v>
                </c:pt>
                <c:pt idx="189">
                  <c:v>5.7398141560759628</c:v>
                </c:pt>
                <c:pt idx="190">
                  <c:v>5.7414716330794366</c:v>
                </c:pt>
                <c:pt idx="191">
                  <c:v>5.7432136779428955</c:v>
                </c:pt>
                <c:pt idx="192">
                  <c:v>5.7450390518346985</c:v>
                </c:pt>
                <c:pt idx="193">
                  <c:v>5.7469464732925672</c:v>
                </c:pt>
                <c:pt idx="194">
                  <c:v>5.7489346212254979</c:v>
                </c:pt>
                <c:pt idx="195">
                  <c:v>5.7510021379428604</c:v>
                </c:pt>
                <c:pt idx="196">
                  <c:v>5.7531476321976687</c:v>
                </c:pt>
                <c:pt idx="197">
                  <c:v>5.7553696822313887</c:v>
                </c:pt>
                <c:pt idx="198">
                  <c:v>5.7576668388080252</c:v>
                </c:pt>
                <c:pt idx="199">
                  <c:v>5.7600376282258505</c:v>
                </c:pt>
                <c:pt idx="200">
                  <c:v>5.7624805552955776</c:v>
                </c:pt>
                <c:pt idx="201">
                  <c:v>5.7649941062745196</c:v>
                </c:pt>
                <c:pt idx="202">
                  <c:v>5.7675767517468639</c:v>
                </c:pt>
                <c:pt idx="203">
                  <c:v>5.7702269494408931</c:v>
                </c:pt>
                <c:pt idx="204">
                  <c:v>5.7729431469747379</c:v>
                </c:pt>
                <c:pt idx="205">
                  <c:v>5.7757237845229481</c:v>
                </c:pt>
                <c:pt idx="206">
                  <c:v>5.7785672973969318</c:v>
                </c:pt>
                <c:pt idx="207">
                  <c:v>5.7814721185330695</c:v>
                </c:pt>
                <c:pt idx="208">
                  <c:v>5.7844366808830419</c:v>
                </c:pt>
                <c:pt idx="209">
                  <c:v>5.7874594197016886</c:v>
                </c:pt>
                <c:pt idx="210">
                  <c:v>5.7905387747283754</c:v>
                </c:pt>
                <c:pt idx="211">
                  <c:v>5.7936731922586313</c:v>
                </c:pt>
                <c:pt idx="212">
                  <c:v>5.7968611271034405</c:v>
                </c:pt>
                <c:pt idx="213">
                  <c:v>5.8001010444342764</c:v>
                </c:pt>
                <c:pt idx="214">
                  <c:v>5.8033914215125337</c:v>
                </c:pt>
                <c:pt idx="215">
                  <c:v>5.8067307493026652</c:v>
                </c:pt>
                <c:pt idx="216">
                  <c:v>5.8101175339688487</c:v>
                </c:pt>
                <c:pt idx="217">
                  <c:v>5.8135502982555414</c:v>
                </c:pt>
                <c:pt idx="218">
                  <c:v>5.8170275827527469</c:v>
                </c:pt>
                <c:pt idx="219">
                  <c:v>5.8205479470472756</c:v>
                </c:pt>
                <c:pt idx="220">
                  <c:v>5.8241099707616639</c:v>
                </c:pt>
                <c:pt idx="221">
                  <c:v>5.8277122544827984</c:v>
                </c:pt>
                <c:pt idx="222">
                  <c:v>5.8313534205825892</c:v>
                </c:pt>
                <c:pt idx="223">
                  <c:v>5.8350321139333428</c:v>
                </c:pt>
                <c:pt idx="224">
                  <c:v>5.8387470025207016</c:v>
                </c:pt>
                <c:pt idx="225">
                  <c:v>5.8424967779572796</c:v>
                </c:pt>
                <c:pt idx="226">
                  <c:v>5.8462801559002378</c:v>
                </c:pt>
                <c:pt idx="227">
                  <c:v>5.8500958763762316</c:v>
                </c:pt>
                <c:pt idx="228">
                  <c:v>5.8539427040172622</c:v>
                </c:pt>
                <c:pt idx="229">
                  <c:v>5.8578194282110267</c:v>
                </c:pt>
                <c:pt idx="230">
                  <c:v>5.8617248631694672</c:v>
                </c:pt>
                <c:pt idx="231">
                  <c:v>5.865657847919203</c:v>
                </c:pt>
                <c:pt idx="232">
                  <c:v>5.8696172462175555</c:v>
                </c:pt>
                <c:pt idx="233">
                  <c:v>5.8736019463978746</c:v>
                </c:pt>
                <c:pt idx="234">
                  <c:v>5.8776108611478346</c:v>
                </c:pt>
                <c:pt idx="235">
                  <c:v>5.8816429272243136</c:v>
                </c:pt>
                <c:pt idx="236">
                  <c:v>5.8856971051084201</c:v>
                </c:pt>
                <c:pt idx="237">
                  <c:v>5.8897723786041576</c:v>
                </c:pt>
                <c:pt idx="238">
                  <c:v>5.8938677543840976</c:v>
                </c:pt>
                <c:pt idx="239">
                  <c:v>5.8979822614853985</c:v>
                </c:pt>
                <c:pt idx="240">
                  <c:v>5.9021149507593273</c:v>
                </c:pt>
                <c:pt idx="241">
                  <c:v>5.9062648942773883</c:v>
                </c:pt>
                <c:pt idx="242">
                  <c:v>5.9104311846970301</c:v>
                </c:pt>
                <c:pt idx="243">
                  <c:v>5.9146129345897673</c:v>
                </c:pt>
                <c:pt idx="244">
                  <c:v>5.918809275734441</c:v>
                </c:pt>
                <c:pt idx="245">
                  <c:v>5.9230193583782436</c:v>
                </c:pt>
                <c:pt idx="246">
                  <c:v>5.9272423504679654</c:v>
                </c:pt>
                <c:pt idx="247">
                  <c:v>5.9314774368538252</c:v>
                </c:pt>
                <c:pt idx="248">
                  <c:v>5.9357238184681362</c:v>
                </c:pt>
                <c:pt idx="249">
                  <c:v>5.939980711480918</c:v>
                </c:pt>
                <c:pt idx="250">
                  <c:v>5.9442473464344454</c:v>
                </c:pt>
                <c:pt idx="251">
                  <c:v>5.9485229673586559</c:v>
                </c:pt>
                <c:pt idx="252">
                  <c:v>5.9528068308691964</c:v>
                </c:pt>
                <c:pt idx="253">
                  <c:v>5.9570982052497694</c:v>
                </c:pt>
                <c:pt idx="254">
                  <c:v>5.9613963695204228</c:v>
                </c:pt>
                <c:pt idx="255">
                  <c:v>5.9657006124932233</c:v>
                </c:pt>
                <c:pt idx="256">
                  <c:v>5.9700102318168051</c:v>
                </c:pt>
                <c:pt idx="257">
                  <c:v>5.9743245330110737</c:v>
                </c:pt>
                <c:pt idx="258">
                  <c:v>5.9786428284933653</c:v>
                </c:pt>
                <c:pt idx="259">
                  <c:v>5.9829644365973031</c:v>
                </c:pt>
                <c:pt idx="260">
                  <c:v>5.9872886805854426</c:v>
                </c:pt>
                <c:pt idx="261">
                  <c:v>5.9916148876568895</c:v>
                </c:pt>
                <c:pt idx="262">
                  <c:v>5.9959423879509046</c:v>
                </c:pt>
                <c:pt idx="263">
                  <c:v>6.0002705135475747</c:v>
                </c:pt>
                <c:pt idx="264">
                  <c:v>6.0045985974665363</c:v>
                </c:pt>
                <c:pt idx="265">
                  <c:v>6.0089259726647839</c:v>
                </c:pt>
                <c:pt idx="266">
                  <c:v>6.013251971034526</c:v>
                </c:pt>
                <c:pt idx="267">
                  <c:v>6.0175759224021057</c:v>
                </c:pt>
                <c:pt idx="268">
                  <c:v>6.0218971535289771</c:v>
                </c:pt>
                <c:pt idx="269">
                  <c:v>6.0262149871157566</c:v>
                </c:pt>
                <c:pt idx="270">
                  <c:v>6.0305287408104125</c:v>
                </c:pt>
                <c:pt idx="271">
                  <c:v>6.034837726221622</c:v>
                </c:pt>
                <c:pt idx="272">
                  <c:v>6.0391412479384714</c:v>
                </c:pt>
                <c:pt idx="273">
                  <c:v>6.0434386025576243</c:v>
                </c:pt>
                <c:pt idx="274">
                  <c:v>6.0477290777191852</c:v>
                </c:pt>
                <c:pt idx="275">
                  <c:v>6.0520119511525534</c:v>
                </c:pt>
                <c:pt idx="276">
                  <c:v>6.0562864897336066</c:v>
                </c:pt>
                <c:pt idx="277">
                  <c:v>6.0605519485546511</c:v>
                </c:pt>
                <c:pt idx="278">
                  <c:v>6.064807570008659</c:v>
                </c:pt>
                <c:pt idx="279">
                  <c:v>6.0690525828893707</c:v>
                </c:pt>
                <c:pt idx="280">
                  <c:v>6.0732862015090081</c:v>
                </c:pt>
                <c:pt idx="281">
                  <c:v>6.0775076248353486</c:v>
                </c:pt>
                <c:pt idx="282">
                  <c:v>6.0817160356501043</c:v>
                </c:pt>
                <c:pt idx="283">
                  <c:v>6.0859105997306147</c:v>
                </c:pt>
                <c:pt idx="284">
                  <c:v>6.0900904650569831</c:v>
                </c:pt>
                <c:pt idx="285">
                  <c:v>6.0942547610469102</c:v>
                </c:pt>
                <c:pt idx="286">
                  <c:v>6.0984025978206127</c:v>
                </c:pt>
                <c:pt idx="287">
                  <c:v>6.1025330654982941</c:v>
                </c:pt>
                <c:pt idx="288">
                  <c:v>6.1066452335328192</c:v>
                </c:pt>
                <c:pt idx="289">
                  <c:v>6.110738150080306</c:v>
                </c:pt>
                <c:pt idx="290">
                  <c:v>6.1148108414115168</c:v>
                </c:pt>
                <c:pt idx="291">
                  <c:v>6.1188623113670353</c:v>
                </c:pt>
                <c:pt idx="292">
                  <c:v>6.1228915408592846</c:v>
                </c:pt>
                <c:pt idx="293">
                  <c:v>6.1268974874246753</c:v>
                </c:pt>
                <c:pt idx="294">
                  <c:v>6.1308790848291075</c:v>
                </c:pt>
                <c:pt idx="295">
                  <c:v>6.134835242730289</c:v>
                </c:pt>
                <c:pt idx="296">
                  <c:v>6.1387648464003517</c:v>
                </c:pt>
                <c:pt idx="297">
                  <c:v>6.142666756512325</c:v>
                </c:pt>
                <c:pt idx="298">
                  <c:v>6.146539808994091</c:v>
                </c:pt>
                <c:pt idx="299">
                  <c:v>6.1503828149535229</c:v>
                </c:pt>
                <c:pt idx="300">
                  <c:v>6.1541945606784658</c:v>
                </c:pt>
                <c:pt idx="301">
                  <c:v>6.1579738077153081</c:v>
                </c:pt>
                <c:pt idx="302">
                  <c:v>6.1617192930298295</c:v>
                </c:pt>
                <c:pt idx="303">
                  <c:v>6.1654297292539848</c:v>
                </c:pt>
                <c:pt idx="304">
                  <c:v>6.1691038050222433</c:v>
                </c:pt>
                <c:pt idx="305">
                  <c:v>6.1727401854009871</c:v>
                </c:pt>
                <c:pt idx="306">
                  <c:v>6.1763375124143796</c:v>
                </c:pt>
                <c:pt idx="307">
                  <c:v>6.1798944056699492</c:v>
                </c:pt>
                <c:pt idx="308">
                  <c:v>6.1834094630869654</c:v>
                </c:pt>
                <c:pt idx="309">
                  <c:v>6.1868812617304787</c:v>
                </c:pt>
                <c:pt idx="310">
                  <c:v>6.1903083587535956</c:v>
                </c:pt>
                <c:pt idx="311">
                  <c:v>6.1936892924503422</c:v>
                </c:pt>
                <c:pt idx="312">
                  <c:v>6.1970225834210932</c:v>
                </c:pt>
                <c:pt idx="313">
                  <c:v>6.2003067358521866</c:v>
                </c:pt>
                <c:pt idx="314">
                  <c:v>6.203540238910958</c:v>
                </c:pt>
                <c:pt idx="315">
                  <c:v>6.2067215682569543</c:v>
                </c:pt>
                <c:pt idx="316">
                  <c:v>6.2098491876696267</c:v>
                </c:pt>
                <c:pt idx="317">
                  <c:v>6.2129215507922719</c:v>
                </c:pt>
                <c:pt idx="318">
                  <c:v>6.2159371029914245</c:v>
                </c:pt>
                <c:pt idx="319">
                  <c:v>6.2188942833303154</c:v>
                </c:pt>
                <c:pt idx="320">
                  <c:v>6.2217915266543713</c:v>
                </c:pt>
                <c:pt idx="321">
                  <c:v>6.2246272657861068</c:v>
                </c:pt>
                <c:pt idx="322">
                  <c:v>6.2273999338260033</c:v>
                </c:pt>
                <c:pt idx="323">
                  <c:v>6.2301079665553454</c:v>
                </c:pt>
                <c:pt idx="324">
                  <c:v>6.23274980493618</c:v>
                </c:pt>
                <c:pt idx="325">
                  <c:v>6.23532389770289</c:v>
                </c:pt>
                <c:pt idx="326">
                  <c:v>6.2378287040390425</c:v>
                </c:pt>
                <c:pt idx="327">
                  <c:v>6.2402626963325218</c:v>
                </c:pt>
                <c:pt idx="328">
                  <c:v>6.2426243630011049</c:v>
                </c:pt>
                <c:pt idx="329">
                  <c:v>6.2449122113799911</c:v>
                </c:pt>
                <c:pt idx="330">
                  <c:v>6.2471247706620021</c:v>
                </c:pt>
                <c:pt idx="331">
                  <c:v>6.2492605948805586</c:v>
                </c:pt>
                <c:pt idx="332">
                  <c:v>6.251318265924807</c:v>
                </c:pt>
                <c:pt idx="333">
                  <c:v>6.2532963965757062</c:v>
                </c:pt>
                <c:pt idx="334">
                  <c:v>6.2551936335513156</c:v>
                </c:pt>
                <c:pt idx="335">
                  <c:v>6.2570086605490003</c:v>
                </c:pt>
                <c:pt idx="336">
                  <c:v>6.2587402012718503</c:v>
                </c:pt>
                <c:pt idx="337">
                  <c:v>6.2603870224262455</c:v>
                </c:pt>
                <c:pt idx="338">
                  <c:v>6.2619479366771964</c:v>
                </c:pt>
                <c:pt idx="339">
                  <c:v>6.2634218055479227</c:v>
                </c:pt>
                <c:pt idx="340">
                  <c:v>6.2648075422500025</c:v>
                </c:pt>
                <c:pt idx="341">
                  <c:v>6.2661041144304104</c:v>
                </c:pt>
                <c:pt idx="342">
                  <c:v>6.2673105468218999</c:v>
                </c:pt>
                <c:pt idx="343">
                  <c:v>6.2684259237833286</c:v>
                </c:pt>
                <c:pt idx="344">
                  <c:v>6.2694493917168614</c:v>
                </c:pt>
                <c:pt idx="345">
                  <c:v>6.2703801613493768</c:v>
                </c:pt>
                <c:pt idx="346">
                  <c:v>6.2712175098659388</c:v>
                </c:pt>
                <c:pt idx="347">
                  <c:v>6.2719607828837862</c:v>
                </c:pt>
                <c:pt idx="348">
                  <c:v>6.2726093962560237</c:v>
                </c:pt>
                <c:pt idx="349">
                  <c:v>6.2731628376950095</c:v>
                </c:pt>
                <c:pt idx="350">
                  <c:v>6.2736206682063616</c:v>
                </c:pt>
                <c:pt idx="351">
                  <c:v>6.273982523325432</c:v>
                </c:pt>
                <c:pt idx="352">
                  <c:v>6.2742481141492279</c:v>
                </c:pt>
                <c:pt idx="353">
                  <c:v>6.2744172281578274</c:v>
                </c:pt>
                <c:pt idx="354">
                  <c:v>6.2744897298205924</c:v>
                </c:pt>
                <c:pt idx="355">
                  <c:v>6.2744655609836109</c:v>
                </c:pt>
                <c:pt idx="356">
                  <c:v>6.2743447410361428</c:v>
                </c:pt>
                <c:pt idx="357">
                  <c:v>6.2741273668551276</c:v>
                </c:pt>
                <c:pt idx="358">
                  <c:v>6.2738136125280128</c:v>
                </c:pt>
                <c:pt idx="359">
                  <c:v>6.2734037288555786</c:v>
                </c:pt>
                <c:pt idx="360">
                  <c:v>6.2728980426376051</c:v>
                </c:pt>
                <c:pt idx="361">
                  <c:v>6.272296955745535</c:v>
                </c:pt>
                <c:pt idx="362">
                  <c:v>6.2716009439874645</c:v>
                </c:pt>
                <c:pt idx="363">
                  <c:v>6.2708105557719467</c:v>
                </c:pt>
                <c:pt idx="364">
                  <c:v>6.2699264105782317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E-4926-821B-1BCFFF7D9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812688"/>
        <c:axId val="2106828048"/>
      </c:scatterChart>
      <c:valAx>
        <c:axId val="21068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828048"/>
        <c:crosses val="autoZero"/>
        <c:crossBetween val="midCat"/>
      </c:valAx>
      <c:valAx>
        <c:axId val="21068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8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Angulo do por do sol para un módulo inclinado a 15 graus na direção do hemisfério Norte em Petrolina</a:t>
            </a:r>
          </a:p>
        </c:rich>
      </c:tx>
      <c:layout>
        <c:manualLayout>
          <c:xMode val="edge"/>
          <c:yMode val="edge"/>
          <c:x val="0.1110623359580052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Planilha1!$AA$6:$AA$370</c:f>
              <c:numCache>
                <c:formatCode>General</c:formatCode>
                <c:ptCount val="365"/>
                <c:pt idx="0">
                  <c:v>6.1791735474495519</c:v>
                </c:pt>
                <c:pt idx="1">
                  <c:v>6.1784457038608913</c:v>
                </c:pt>
                <c:pt idx="2">
                  <c:v>6.1776570409284179</c:v>
                </c:pt>
                <c:pt idx="3">
                  <c:v>6.1768081563552784</c:v>
                </c:pt>
                <c:pt idx="4">
                  <c:v>6.1758996878667682</c:v>
                </c:pt>
                <c:pt idx="5">
                  <c:v>6.1749323115494485</c:v>
                </c:pt>
                <c:pt idx="6">
                  <c:v>6.1739067401151324</c:v>
                </c:pt>
                <c:pt idx="7">
                  <c:v>6.1728237210984904</c:v>
                </c:pt>
                <c:pt idx="8">
                  <c:v>6.1716840349972362</c:v>
                </c:pt>
                <c:pt idx="9">
                  <c:v>6.1704884933638811</c:v>
                </c:pt>
                <c:pt idx="10">
                  <c:v>6.1692379368580834</c:v>
                </c:pt>
                <c:pt idx="11">
                  <c:v>6.1679332332685828</c:v>
                </c:pt>
                <c:pt idx="12">
                  <c:v>6.1665752755135417</c:v>
                </c:pt>
                <c:pt idx="13">
                  <c:v>6.1651649796280363</c:v>
                </c:pt>
                <c:pt idx="14">
                  <c:v>6.1637032827471021</c:v>
                </c:pt>
                <c:pt idx="15">
                  <c:v>6.1621911410925518</c:v>
                </c:pt>
                <c:pt idx="16">
                  <c:v>6.1606295279714436</c:v>
                </c:pt>
                <c:pt idx="17">
                  <c:v>6.1590194317936762</c:v>
                </c:pt>
                <c:pt idx="18">
                  <c:v>6.1573618541158499</c:v>
                </c:pt>
                <c:pt idx="19">
                  <c:v>6.1556578077180708</c:v>
                </c:pt>
                <c:pt idx="20">
                  <c:v>6.1539083147199456</c:v>
                </c:pt>
                <c:pt idx="21">
                  <c:v>6.1521144047415293</c:v>
                </c:pt>
                <c:pt idx="22">
                  <c:v>6.1502771131145328</c:v>
                </c:pt>
                <c:pt idx="23">
                  <c:v>6.1483974791485796</c:v>
                </c:pt>
                <c:pt idx="24">
                  <c:v>6.1464765444568199</c:v>
                </c:pt>
                <c:pt idx="25">
                  <c:v>6.1445153513447233</c:v>
                </c:pt>
                <c:pt idx="26">
                  <c:v>6.1425149412653477</c:v>
                </c:pt>
                <c:pt idx="27">
                  <c:v>6.1404763533439564</c:v>
                </c:pt>
                <c:pt idx="28">
                  <c:v>6.1384006229743067</c:v>
                </c:pt>
                <c:pt idx="29">
                  <c:v>6.1362887804885542</c:v>
                </c:pt>
                <c:pt idx="30">
                  <c:v>6.1341418499022202</c:v>
                </c:pt>
                <c:pt idx="31">
                  <c:v>6.1319608477352716</c:v>
                </c:pt>
                <c:pt idx="32">
                  <c:v>6.1297467819099731</c:v>
                </c:pt>
                <c:pt idx="33">
                  <c:v>6.1275006507257581</c:v>
                </c:pt>
                <c:pt idx="34">
                  <c:v>6.1252234419110643</c:v>
                </c:pt>
                <c:pt idx="35">
                  <c:v>6.1229161317517047</c:v>
                </c:pt>
                <c:pt idx="36">
                  <c:v>6.1205796842950644</c:v>
                </c:pt>
                <c:pt idx="37">
                  <c:v>6.1182150506291526</c:v>
                </c:pt>
                <c:pt idx="38">
                  <c:v>6.1158231682352566</c:v>
                </c:pt>
                <c:pt idx="39">
                  <c:v>6.1134049604127387</c:v>
                </c:pt>
                <c:pt idx="40">
                  <c:v>6.1109613357743306</c:v>
                </c:pt>
                <c:pt idx="41">
                  <c:v>6.1084931878100823</c:v>
                </c:pt>
                <c:pt idx="42">
                  <c:v>6.106001394517981</c:v>
                </c:pt>
                <c:pt idx="43">
                  <c:v>6.1034868180991468</c:v>
                </c:pt>
                <c:pt idx="44">
                  <c:v>6.1009503047153677</c:v>
                </c:pt>
                <c:pt idx="45">
                  <c:v>6.0983926843066998</c:v>
                </c:pt>
                <c:pt idx="46">
                  <c:v>6.0958147704667685</c:v>
                </c:pt>
                <c:pt idx="47">
                  <c:v>6.0932173603733464</c:v>
                </c:pt>
                <c:pt idx="48">
                  <c:v>6.0906012347717908</c:v>
                </c:pt>
                <c:pt idx="49">
                  <c:v>6.0879671580088832</c:v>
                </c:pt>
                <c:pt idx="50">
                  <c:v>6.0853158781146384</c:v>
                </c:pt>
                <c:pt idx="51">
                  <c:v>6.0826481269296186</c:v>
                </c:pt>
                <c:pt idx="52">
                  <c:v>6.079964620275387</c:v>
                </c:pt>
                <c:pt idx="53">
                  <c:v>6.0772660581656952</c:v>
                </c:pt>
                <c:pt idx="54">
                  <c:v>6.0745531250561129</c:v>
                </c:pt>
                <c:pt idx="55">
                  <c:v>6.0718264901297854</c:v>
                </c:pt>
                <c:pt idx="56">
                  <c:v>6.0690868076171709</c:v>
                </c:pt>
                <c:pt idx="57">
                  <c:v>6.0663347171475488</c:v>
                </c:pt>
                <c:pt idx="58">
                  <c:v>6.0635708441302718</c:v>
                </c:pt>
                <c:pt idx="59">
                  <c:v>6.0607958001637554</c:v>
                </c:pt>
                <c:pt idx="60">
                  <c:v>6.0580101834702473</c:v>
                </c:pt>
                <c:pt idx="61">
                  <c:v>6.0552145793546091</c:v>
                </c:pt>
                <c:pt idx="62">
                  <c:v>6.052409560685275</c:v>
                </c:pt>
                <c:pt idx="63">
                  <c:v>6.0495956883957431</c:v>
                </c:pt>
                <c:pt idx="64">
                  <c:v>6.0467735120050135</c:v>
                </c:pt>
                <c:pt idx="65">
                  <c:v>6.0439435701554149</c:v>
                </c:pt>
                <c:pt idx="66">
                  <c:v>6.0411063911664193</c:v>
                </c:pt>
                <c:pt idx="67">
                  <c:v>6.0382624936030416</c:v>
                </c:pt>
                <c:pt idx="68">
                  <c:v>6.0354123868575726</c:v>
                </c:pt>
                <c:pt idx="69">
                  <c:v>6.0325565717433944</c:v>
                </c:pt>
                <c:pt idx="70">
                  <c:v>6.0296955410997288</c:v>
                </c:pt>
                <c:pt idx="71">
                  <c:v>6.0268297804062634</c:v>
                </c:pt>
                <c:pt idx="72">
                  <c:v>6.0239597684065762</c:v>
                </c:pt>
                <c:pt idx="73">
                  <c:v>6.0210859777394345</c:v>
                </c:pt>
                <c:pt idx="74">
                  <c:v>6.0182088755770176</c:v>
                </c:pt>
                <c:pt idx="75">
                  <c:v>6.0153289242692081</c:v>
                </c:pt>
                <c:pt idx="76">
                  <c:v>6.012446581993121</c:v>
                </c:pt>
                <c:pt idx="77">
                  <c:v>6.0095623034070655</c:v>
                </c:pt>
                <c:pt idx="78">
                  <c:v>6.0066765403082014</c:v>
                </c:pt>
                <c:pt idx="79">
                  <c:v>6.0037897422931499</c:v>
                </c:pt>
                <c:pt idx="80">
                  <c:v>6.000902357420844</c:v>
                </c:pt>
                <c:pt idx="81">
                  <c:v>5.9980148328769509</c:v>
                </c:pt>
                <c:pt idx="82">
                  <c:v>5.9951276156391531</c:v>
                </c:pt>
                <c:pt idx="83">
                  <c:v>5.9922411531426594</c:v>
                </c:pt>
                <c:pt idx="84">
                  <c:v>5.9893558939452456</c:v>
                </c:pt>
                <c:pt idx="85">
                  <c:v>5.986472288391159</c:v>
                </c:pt>
                <c:pt idx="86">
                  <c:v>5.9835907892732223</c:v>
                </c:pt>
                <c:pt idx="87">
                  <c:v>5.9807118524924086</c:v>
                </c:pt>
                <c:pt idx="88">
                  <c:v>5.9778359377142047</c:v>
                </c:pt>
                <c:pt idx="89">
                  <c:v>5.9749635090210029</c:v>
                </c:pt>
                <c:pt idx="90">
                  <c:v>5.9720950355597573</c:v>
                </c:pt>
                <c:pt idx="91">
                  <c:v>5.9692309921840989</c:v>
                </c:pt>
                <c:pt idx="92">
                  <c:v>5.9663718600900681</c:v>
                </c:pt>
                <c:pt idx="93">
                  <c:v>5.9635181274445737</c:v>
                </c:pt>
                <c:pt idx="94">
                  <c:v>5.9606702900056279</c:v>
                </c:pt>
                <c:pt idx="95">
                  <c:v>5.9578288517333959</c:v>
                </c:pt>
                <c:pt idx="96">
                  <c:v>5.9549943253909747</c:v>
                </c:pt>
                <c:pt idx="97">
                  <c:v>5.9521672331338227</c:v>
                </c:pt>
                <c:pt idx="98">
                  <c:v>5.9493481070866228</c:v>
                </c:pt>
                <c:pt idx="99">
                  <c:v>5.9465374899063859</c:v>
                </c:pt>
                <c:pt idx="100">
                  <c:v>5.9437359353304231</c:v>
                </c:pt>
                <c:pt idx="101">
                  <c:v>5.9409440087078291</c:v>
                </c:pt>
                <c:pt idx="102">
                  <c:v>5.9381622875129958</c:v>
                </c:pt>
                <c:pt idx="103">
                  <c:v>5.9353913618395975</c:v>
                </c:pt>
                <c:pt idx="104">
                  <c:v>5.9326318348734324</c:v>
                </c:pt>
                <c:pt idx="105">
                  <c:v>5.9298843233424101</c:v>
                </c:pt>
                <c:pt idx="106">
                  <c:v>5.9271494579418746</c:v>
                </c:pt>
                <c:pt idx="107">
                  <c:v>5.924427883733423</c:v>
                </c:pt>
                <c:pt idx="108">
                  <c:v>5.9217202605152348</c:v>
                </c:pt>
                <c:pt idx="109">
                  <c:v>5.9190272631619321</c:v>
                </c:pt>
                <c:pt idx="110">
                  <c:v>5.9163495819317991</c:v>
                </c:pt>
                <c:pt idx="111">
                  <c:v>5.9136879227392818</c:v>
                </c:pt>
                <c:pt idx="112">
                  <c:v>5.9110430073904556</c:v>
                </c:pt>
                <c:pt idx="113">
                  <c:v>5.9084155737792177</c:v>
                </c:pt>
                <c:pt idx="114">
                  <c:v>5.9058063760418378</c:v>
                </c:pt>
                <c:pt idx="115">
                  <c:v>5.9032161846675049</c:v>
                </c:pt>
                <c:pt idx="116">
                  <c:v>5.9006457865624187</c:v>
                </c:pt>
                <c:pt idx="117">
                  <c:v>5.898095985065023</c:v>
                </c:pt>
                <c:pt idx="118">
                  <c:v>5.8955675999099038</c:v>
                </c:pt>
                <c:pt idx="119">
                  <c:v>5.8930614671379296</c:v>
                </c:pt>
                <c:pt idx="120">
                  <c:v>5.8905784389501887</c:v>
                </c:pt>
                <c:pt idx="121">
                  <c:v>5.8881193835033381</c:v>
                </c:pt>
                <c:pt idx="122">
                  <c:v>5.8856851846440277</c:v>
                </c:pt>
                <c:pt idx="123">
                  <c:v>5.8832767415801381</c:v>
                </c:pt>
                <c:pt idx="124">
                  <c:v>5.8808949684866318</c:v>
                </c:pt>
                <c:pt idx="125">
                  <c:v>5.8785407940439889</c:v>
                </c:pt>
                <c:pt idx="126">
                  <c:v>5.8762151609072601</c:v>
                </c:pt>
                <c:pt idx="127">
                  <c:v>5.8739190251040077</c:v>
                </c:pt>
                <c:pt idx="128">
                  <c:v>5.8716533553595101</c:v>
                </c:pt>
                <c:pt idx="129">
                  <c:v>5.8694191323478755</c:v>
                </c:pt>
                <c:pt idx="130">
                  <c:v>5.8672173478679053</c:v>
                </c:pt>
                <c:pt idx="131">
                  <c:v>5.8650490039428389</c:v>
                </c:pt>
                <c:pt idx="132">
                  <c:v>5.8629151118433498</c:v>
                </c:pt>
                <c:pt idx="133">
                  <c:v>5.860816691033528</c:v>
                </c:pt>
                <c:pt idx="134">
                  <c:v>5.8587547680398933</c:v>
                </c:pt>
                <c:pt idx="135">
                  <c:v>5.8567303752438367</c:v>
                </c:pt>
                <c:pt idx="136">
                  <c:v>5.8547445495982897</c:v>
                </c:pt>
                <c:pt idx="137">
                  <c:v>5.8527983312698302</c:v>
                </c:pt>
                <c:pt idx="138">
                  <c:v>5.8508927622078524</c:v>
                </c:pt>
                <c:pt idx="139">
                  <c:v>5.8490288846428635</c:v>
                </c:pt>
                <c:pt idx="140">
                  <c:v>5.8472077395164765</c:v>
                </c:pt>
                <c:pt idx="141">
                  <c:v>5.8454303648460915</c:v>
                </c:pt>
                <c:pt idx="142">
                  <c:v>5.8436977940277774</c:v>
                </c:pt>
                <c:pt idx="143">
                  <c:v>5.842011054081353</c:v>
                </c:pt>
                <c:pt idx="144">
                  <c:v>5.8403711638421623</c:v>
                </c:pt>
                <c:pt idx="145">
                  <c:v>5.8387791321045155</c:v>
                </c:pt>
                <c:pt idx="146">
                  <c:v>5.8372359557222824</c:v>
                </c:pt>
                <c:pt idx="147">
                  <c:v>5.8357426176725937</c:v>
                </c:pt>
                <c:pt idx="148">
                  <c:v>5.8343000850890405</c:v>
                </c:pt>
                <c:pt idx="149">
                  <c:v>5.8329093072712448</c:v>
                </c:pt>
                <c:pt idx="150">
                  <c:v>5.8315712136780498</c:v>
                </c:pt>
                <c:pt idx="151">
                  <c:v>5.8302867119119943</c:v>
                </c:pt>
                <c:pt idx="152">
                  <c:v>5.8290566857030512</c:v>
                </c:pt>
                <c:pt idx="153">
                  <c:v>5.8278819928999157</c:v>
                </c:pt>
                <c:pt idx="154">
                  <c:v>5.826763463477433</c:v>
                </c:pt>
                <c:pt idx="155">
                  <c:v>5.8257018975688872</c:v>
                </c:pt>
                <c:pt idx="156">
                  <c:v>5.8246980635320655</c:v>
                </c:pt>
                <c:pt idx="157">
                  <c:v>5.8237526960581318</c:v>
                </c:pt>
                <c:pt idx="158">
                  <c:v>5.8228664943322697</c:v>
                </c:pt>
                <c:pt idx="159">
                  <c:v>5.8220401202551626</c:v>
                </c:pt>
                <c:pt idx="160">
                  <c:v>5.8212741967341213</c:v>
                </c:pt>
                <c:pt idx="161">
                  <c:v>5.8205693060526142</c:v>
                </c:pt>
                <c:pt idx="162">
                  <c:v>5.8199259883266352</c:v>
                </c:pt>
                <c:pt idx="163">
                  <c:v>5.8193447400560823</c:v>
                </c:pt>
                <c:pt idx="164">
                  <c:v>5.8188260127788887</c:v>
                </c:pt>
                <c:pt idx="165">
                  <c:v>5.8183702118352292</c:v>
                </c:pt>
                <c:pt idx="166">
                  <c:v>5.8179776952486204</c:v>
                </c:pt>
                <c:pt idx="167">
                  <c:v>5.8176487727301067</c:v>
                </c:pt>
                <c:pt idx="168">
                  <c:v>5.8173837048111823</c:v>
                </c:pt>
                <c:pt idx="169">
                  <c:v>5.8171827021103004</c:v>
                </c:pt>
                <c:pt idx="170">
                  <c:v>5.8170459247372053</c:v>
                </c:pt>
                <c:pt idx="171">
                  <c:v>5.8169734818384882</c:v>
                </c:pt>
                <c:pt idx="172">
                  <c:v>5.8169654312869898</c:v>
                </c:pt>
                <c:pt idx="173">
                  <c:v>5.8170217795168506</c:v>
                </c:pt>
                <c:pt idx="174">
                  <c:v>5.8171424815051571</c:v>
                </c:pt>
                <c:pt idx="175">
                  <c:v>5.8173274409003009</c:v>
                </c:pt>
                <c:pt idx="176">
                  <c:v>5.817576510296302</c:v>
                </c:pt>
                <c:pt idx="177">
                  <c:v>5.8178894916515054</c:v>
                </c:pt>
                <c:pt idx="178">
                  <c:v>5.8182661368492337</c:v>
                </c:pt>
                <c:pt idx="179">
                  <c:v>5.8187061483971751</c:v>
                </c:pt>
                <c:pt idx="180">
                  <c:v>5.8192091802615176</c:v>
                </c:pt>
                <c:pt idx="181">
                  <c:v>5.8197748388310533</c:v>
                </c:pt>
                <c:pt idx="182">
                  <c:v>5.8204026840058942</c:v>
                </c:pt>
                <c:pt idx="183">
                  <c:v>5.8210922304046333</c:v>
                </c:pt>
                <c:pt idx="184">
                  <c:v>5.8218429486833765</c:v>
                </c:pt>
                <c:pt idx="185">
                  <c:v>5.8226542669593844</c:v>
                </c:pt>
                <c:pt idx="186">
                  <c:v>5.8235255723317003</c:v>
                </c:pt>
                <c:pt idx="187">
                  <c:v>5.8244562124906913</c:v>
                </c:pt>
                <c:pt idx="188">
                  <c:v>5.8254454974081336</c:v>
                </c:pt>
                <c:pt idx="189">
                  <c:v>5.8264927010991414</c:v>
                </c:pt>
                <c:pt idx="190">
                  <c:v>5.8275970634471577</c:v>
                </c:pt>
                <c:pt idx="191">
                  <c:v>5.8287577920829845</c:v>
                </c:pt>
                <c:pt idx="192">
                  <c:v>5.8299740643088631</c:v>
                </c:pt>
                <c:pt idx="193">
                  <c:v>5.8312450290585733</c:v>
                </c:pt>
                <c:pt idx="194">
                  <c:v>5.8325698088846272</c:v>
                </c:pt>
                <c:pt idx="195">
                  <c:v>5.8339475019637579</c:v>
                </c:pt>
                <c:pt idx="196">
                  <c:v>5.8353771841120716</c:v>
                </c:pt>
                <c:pt idx="197">
                  <c:v>5.8368579108015295</c:v>
                </c:pt>
                <c:pt idx="198">
                  <c:v>5.8383887191696608</c:v>
                </c:pt>
                <c:pt idx="199">
                  <c:v>5.8399686300147948</c:v>
                </c:pt>
                <c:pt idx="200">
                  <c:v>5.8415966497694098</c:v>
                </c:pt>
                <c:pt idx="201">
                  <c:v>5.8432717724446883</c:v>
                </c:pt>
                <c:pt idx="202">
                  <c:v>5.8449929815397246</c:v>
                </c:pt>
                <c:pt idx="203">
                  <c:v>5.8467592519093188</c:v>
                </c:pt>
                <c:pt idx="204">
                  <c:v>5.8485695515847782</c:v>
                </c:pt>
                <c:pt idx="205">
                  <c:v>5.850422843542602</c:v>
                </c:pt>
                <c:pt idx="206">
                  <c:v>5.8523180874164398</c:v>
                </c:pt>
                <c:pt idx="207">
                  <c:v>5.8542542411482144</c:v>
                </c:pt>
                <c:pt idx="208">
                  <c:v>5.856230262574754</c:v>
                </c:pt>
                <c:pt idx="209">
                  <c:v>5.8582451109468279</c:v>
                </c:pt>
                <c:pt idx="210">
                  <c:v>5.8602977483779082</c:v>
                </c:pt>
                <c:pt idx="211">
                  <c:v>5.8623871412204744</c:v>
                </c:pt>
                <c:pt idx="212">
                  <c:v>5.8645122613681009</c:v>
                </c:pt>
                <c:pt idx="213">
                  <c:v>5.8666720874820593</c:v>
                </c:pt>
                <c:pt idx="214">
                  <c:v>5.8688656061414974</c:v>
                </c:pt>
                <c:pt idx="215">
                  <c:v>5.8710918129167204</c:v>
                </c:pt>
                <c:pt idx="216">
                  <c:v>5.8733497133654264</c:v>
                </c:pt>
                <c:pt idx="217">
                  <c:v>5.8756383239521082</c:v>
                </c:pt>
                <c:pt idx="218">
                  <c:v>5.8779566728911545</c:v>
                </c:pt>
                <c:pt idx="219">
                  <c:v>5.8803038009144375</c:v>
                </c:pt>
                <c:pt idx="220">
                  <c:v>5.8826787619645184</c:v>
                </c:pt>
                <c:pt idx="221">
                  <c:v>5.8850806238147531</c:v>
                </c:pt>
                <c:pt idx="222">
                  <c:v>5.8875084686178436</c:v>
                </c:pt>
                <c:pt idx="223">
                  <c:v>5.8899613933845965</c:v>
                </c:pt>
                <c:pt idx="224">
                  <c:v>5.8924385103947081</c:v>
                </c:pt>
                <c:pt idx="225">
                  <c:v>5.8949389475416956</c:v>
                </c:pt>
                <c:pt idx="226">
                  <c:v>5.897461848614058</c:v>
                </c:pt>
                <c:pt idx="227">
                  <c:v>5.900006373514926</c:v>
                </c:pt>
                <c:pt idx="228">
                  <c:v>5.9025716984225651</c:v>
                </c:pt>
                <c:pt idx="229">
                  <c:v>5.9051570158940523</c:v>
                </c:pt>
                <c:pt idx="230">
                  <c:v>5.9077615349145933</c:v>
                </c:pt>
                <c:pt idx="231">
                  <c:v>5.9103844808948871</c:v>
                </c:pt>
                <c:pt idx="232">
                  <c:v>5.9130250956190258</c:v>
                </c:pt>
                <c:pt idx="233">
                  <c:v>5.9156826371453297</c:v>
                </c:pt>
                <c:pt idx="234">
                  <c:v>5.9183563796625744</c:v>
                </c:pt>
                <c:pt idx="235">
                  <c:v>5.9210456133039884</c:v>
                </c:pt>
                <c:pt idx="236">
                  <c:v>5.9237496439213828</c:v>
                </c:pt>
                <c:pt idx="237">
                  <c:v>5.9264677928217075</c:v>
                </c:pt>
                <c:pt idx="238">
                  <c:v>5.9291993964682934</c:v>
                </c:pt>
                <c:pt idx="239">
                  <c:v>5.9319438061489613</c:v>
                </c:pt>
                <c:pt idx="240">
                  <c:v>5.9347003876131117</c:v>
                </c:pt>
                <c:pt idx="241">
                  <c:v>5.9374685206798539</c:v>
                </c:pt>
                <c:pt idx="242">
                  <c:v>5.9402475988191101</c:v>
                </c:pt>
                <c:pt idx="243">
                  <c:v>5.9430370287076419</c:v>
                </c:pt>
                <c:pt idx="244">
                  <c:v>5.9458362297617535</c:v>
                </c:pt>
                <c:pt idx="245">
                  <c:v>5.9486446336484295</c:v>
                </c:pt>
                <c:pt idx="246">
                  <c:v>5.9514616837765653</c:v>
                </c:pt>
                <c:pt idx="247">
                  <c:v>5.9542868347698263</c:v>
                </c:pt>
                <c:pt idx="248">
                  <c:v>5.9571195519226698</c:v>
                </c:pt>
                <c:pt idx="249">
                  <c:v>5.9599593106408966</c:v>
                </c:pt>
                <c:pt idx="250">
                  <c:v>5.9628055958681108</c:v>
                </c:pt>
                <c:pt idx="251">
                  <c:v>5.9656579014993119</c:v>
                </c:pt>
                <c:pt idx="252">
                  <c:v>5.9685157297828493</c:v>
                </c:pt>
                <c:pt idx="253">
                  <c:v>5.971378590711848</c:v>
                </c:pt>
                <c:pt idx="254">
                  <c:v>5.974246001406164</c:v>
                </c:pt>
                <c:pt idx="255">
                  <c:v>5.9771174854858939</c:v>
                </c:pt>
                <c:pt idx="256">
                  <c:v>5.9799925724373777</c:v>
                </c:pt>
                <c:pt idx="257">
                  <c:v>5.9828707969725974</c:v>
                </c:pt>
                <c:pt idx="258">
                  <c:v>5.9857516983828321</c:v>
                </c:pt>
                <c:pt idx="259">
                  <c:v>5.9886348198873698</c:v>
                </c:pt>
                <c:pt idx="260">
                  <c:v>5.9915197079780746</c:v>
                </c:pt>
                <c:pt idx="261">
                  <c:v>5.9944059117605395</c:v>
                </c:pt>
                <c:pt idx="262">
                  <c:v>5.9972929822925529</c:v>
                </c:pt>
                <c:pt idx="263">
                  <c:v>6.0001804719205811</c:v>
                </c:pt>
                <c:pt idx="264">
                  <c:v>6.0030679336149415</c:v>
                </c:pt>
                <c:pt idx="265">
                  <c:v>6.0059549203043563</c:v>
                </c:pt>
                <c:pt idx="266">
                  <c:v>6.0088409842105408</c:v>
                </c:pt>
                <c:pt idx="267">
                  <c:v>6.0117256761835147</c:v>
                </c:pt>
                <c:pt idx="268">
                  <c:v>6.0146085450382829</c:v>
                </c:pt>
                <c:pt idx="269">
                  <c:v>6.0174891368936043</c:v>
                </c:pt>
                <c:pt idx="270">
                  <c:v>6.0203669945135356</c:v>
                </c:pt>
                <c:pt idx="271">
                  <c:v>6.0232416566524636</c:v>
                </c:pt>
                <c:pt idx="272">
                  <c:v>6.0261126574044033</c:v>
                </c:pt>
                <c:pt idx="273">
                  <c:v>6.0289795255573209</c:v>
                </c:pt>
                <c:pt idx="274">
                  <c:v>6.0318417839533085</c:v>
                </c:pt>
                <c:pt idx="275">
                  <c:v>6.0346989488554792</c:v>
                </c:pt>
                <c:pt idx="276">
                  <c:v>6.0375505293224752</c:v>
                </c:pt>
                <c:pt idx="277">
                  <c:v>6.0403960265915515</c:v>
                </c:pt>
                <c:pt idx="278">
                  <c:v>6.0432349334712647</c:v>
                </c:pt>
                <c:pt idx="279">
                  <c:v>6.0460667337448095</c:v>
                </c:pt>
                <c:pt idx="280">
                  <c:v>6.0488909015851569</c:v>
                </c:pt>
                <c:pt idx="281">
                  <c:v>6.0517069009832039</c:v>
                </c:pt>
                <c:pt idx="282">
                  <c:v>6.0545141851901914</c:v>
                </c:pt>
                <c:pt idx="283">
                  <c:v>6.0573121961757392</c:v>
                </c:pt>
                <c:pt idx="284">
                  <c:v>6.0601003641029285</c:v>
                </c:pt>
                <c:pt idx="285">
                  <c:v>6.0628781068219286</c:v>
                </c:pt>
                <c:pt idx="286">
                  <c:v>6.0656448293837384</c:v>
                </c:pt>
                <c:pt idx="287">
                  <c:v>6.0683999235757158</c:v>
                </c:pt>
                <c:pt idx="288">
                  <c:v>6.0711427674806266</c:v>
                </c:pt>
                <c:pt idx="289">
                  <c:v>6.0738727250610278</c:v>
                </c:pt>
                <c:pt idx="290">
                  <c:v>6.0765891457709129</c:v>
                </c:pt>
                <c:pt idx="291">
                  <c:v>6.0792913641965551</c:v>
                </c:pt>
                <c:pt idx="292">
                  <c:v>6.0819786997286478</c:v>
                </c:pt>
                <c:pt idx="293">
                  <c:v>6.0846504562678367</c:v>
                </c:pt>
                <c:pt idx="294">
                  <c:v>6.0873059219658501</c:v>
                </c:pt>
                <c:pt idx="295">
                  <c:v>6.0899443690044892</c:v>
                </c:pt>
                <c:pt idx="296">
                  <c:v>6.092565053414762</c:v>
                </c:pt>
                <c:pt idx="297">
                  <c:v>6.0951672149385709</c:v>
                </c:pt>
                <c:pt idx="298">
                  <c:v>6.0977500769352861</c:v>
                </c:pt>
                <c:pt idx="299">
                  <c:v>6.1003128463356999</c:v>
                </c:pt>
                <c:pt idx="300">
                  <c:v>6.1028547136457467</c:v>
                </c:pt>
                <c:pt idx="301">
                  <c:v>6.1053748530024903</c:v>
                </c:pt>
                <c:pt idx="302">
                  <c:v>6.1078724222847658</c:v>
                </c:pt>
                <c:pt idx="303">
                  <c:v>6.1103465632809444</c:v>
                </c:pt>
                <c:pt idx="304">
                  <c:v>6.1127964019161549</c:v>
                </c:pt>
                <c:pt idx="305">
                  <c:v>6.115221048541291</c:v>
                </c:pt>
                <c:pt idx="306">
                  <c:v>6.1176195982860522</c:v>
                </c:pt>
                <c:pt idx="307">
                  <c:v>6.1199911314781303</c:v>
                </c:pt>
                <c:pt idx="308">
                  <c:v>6.1223347141305799</c:v>
                </c:pt>
                <c:pt idx="309">
                  <c:v>6.1246493984992263</c:v>
                </c:pt>
                <c:pt idx="310">
                  <c:v>6.1269342237118387</c:v>
                </c:pt>
                <c:pt idx="311">
                  <c:v>6.1291882164705473</c:v>
                </c:pt>
                <c:pt idx="312">
                  <c:v>6.1314103918288305</c:v>
                </c:pt>
                <c:pt idx="313">
                  <c:v>6.1335997540441127</c:v>
                </c:pt>
                <c:pt idx="314">
                  <c:v>6.1357552975067442</c:v>
                </c:pt>
                <c:pt idx="315">
                  <c:v>6.1378760077458603</c:v>
                </c:pt>
                <c:pt idx="316">
                  <c:v>6.1399608625122974</c:v>
                </c:pt>
                <c:pt idx="317">
                  <c:v>6.142008832938358</c:v>
                </c:pt>
                <c:pt idx="318">
                  <c:v>6.1440188847738968</c:v>
                </c:pt>
                <c:pt idx="319">
                  <c:v>6.1459899796977799</c:v>
                </c:pt>
                <c:pt idx="320">
                  <c:v>6.1479210767033399</c:v>
                </c:pt>
                <c:pt idx="321">
                  <c:v>6.1498111335560566</c:v>
                </c:pt>
                <c:pt idx="322">
                  <c:v>6.1516591083211933</c:v>
                </c:pt>
                <c:pt idx="323">
                  <c:v>6.1534639609586756</c:v>
                </c:pt>
                <c:pt idx="324">
                  <c:v>6.1552246549820291</c:v>
                </c:pt>
                <c:pt idx="325">
                  <c:v>6.1569401591776529</c:v>
                </c:pt>
                <c:pt idx="326">
                  <c:v>6.1586094493802976</c:v>
                </c:pt>
                <c:pt idx="327">
                  <c:v>6.1602315103000169</c:v>
                </c:pt>
                <c:pt idx="328">
                  <c:v>6.1618053373954611</c:v>
                </c:pt>
                <c:pt idx="329">
                  <c:v>6.1633299387878422</c:v>
                </c:pt>
                <c:pt idx="330">
                  <c:v>6.1648043372094543</c:v>
                </c:pt>
                <c:pt idx="331">
                  <c:v>6.1662275719801452</c:v>
                </c:pt>
                <c:pt idx="332">
                  <c:v>6.1675987010047768</c:v>
                </c:pt>
                <c:pt idx="333">
                  <c:v>6.1689168027842021</c:v>
                </c:pt>
                <c:pt idx="334">
                  <c:v>6.1701809784320414</c:v>
                </c:pt>
                <c:pt idx="335">
                  <c:v>6.1713903536890804</c:v>
                </c:pt>
                <c:pt idx="336">
                  <c:v>6.1725440809269561</c:v>
                </c:pt>
                <c:pt idx="337">
                  <c:v>6.173641341132436</c:v>
                </c:pt>
                <c:pt idx="338">
                  <c:v>6.174681345863517</c:v>
                </c:pt>
                <c:pt idx="339">
                  <c:v>6.175663339168362</c:v>
                </c:pt>
                <c:pt idx="340">
                  <c:v>6.1765865994580738</c:v>
                </c:pt>
                <c:pt idx="341">
                  <c:v>6.1774504413242806</c:v>
                </c:pt>
                <c:pt idx="342">
                  <c:v>6.1782542172925821</c:v>
                </c:pt>
                <c:pt idx="343">
                  <c:v>6.178997319503023</c:v>
                </c:pt>
                <c:pt idx="344">
                  <c:v>6.179679181308968</c:v>
                </c:pt>
                <c:pt idx="345">
                  <c:v>6.1802992787860518</c:v>
                </c:pt>
                <c:pt idx="346">
                  <c:v>6.1808571321431547</c:v>
                </c:pt>
                <c:pt idx="347">
                  <c:v>6.1813523070278169</c:v>
                </c:pt>
                <c:pt idx="348">
                  <c:v>6.1817844157189761</c:v>
                </c:pt>
                <c:pt idx="349">
                  <c:v>6.1821531182003877</c:v>
                </c:pt>
                <c:pt idx="350">
                  <c:v>6.1824581231088054</c:v>
                </c:pt>
                <c:pt idx="351">
                  <c:v>6.1826991885514921</c:v>
                </c:pt>
                <c:pt idx="352">
                  <c:v>6.1828761227884721</c:v>
                </c:pt>
                <c:pt idx="353">
                  <c:v>6.1829887847756044</c:v>
                </c:pt>
                <c:pt idx="354">
                  <c:v>6.18303708456535</c:v>
                </c:pt>
                <c:pt idx="355">
                  <c:v>6.1830209835629093</c:v>
                </c:pt>
                <c:pt idx="356">
                  <c:v>6.1829404946362789</c:v>
                </c:pt>
                <c:pt idx="357">
                  <c:v>6.1827956820795347</c:v>
                </c:pt>
                <c:pt idx="358">
                  <c:v>6.1825866614296219</c:v>
                </c:pt>
                <c:pt idx="359">
                  <c:v>6.1823135991376486</c:v>
                </c:pt>
                <c:pt idx="360">
                  <c:v>6.1819767120966382</c:v>
                </c:pt>
                <c:pt idx="361">
                  <c:v>6.1815762670284187</c:v>
                </c:pt>
                <c:pt idx="362">
                  <c:v>6.1811125797332078</c:v>
                </c:pt>
                <c:pt idx="363">
                  <c:v>6.180586014206142</c:v>
                </c:pt>
                <c:pt idx="364">
                  <c:v>6.1799969816257665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4-4246-9E50-4BABC896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246624"/>
        <c:axId val="2107249024"/>
      </c:scatterChart>
      <c:valAx>
        <c:axId val="21072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49024"/>
        <c:crosses val="autoZero"/>
        <c:crossBetween val="midCat"/>
      </c:valAx>
      <c:valAx>
        <c:axId val="2107249024"/>
        <c:scaling>
          <c:orientation val="minMax"/>
          <c:max val="6.4"/>
          <c:min val="5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Duração da noite ao longo do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Planilha1!$AB$6:$AB$370</c:f>
              <c:numCache>
                <c:formatCode>General</c:formatCode>
                <c:ptCount val="365"/>
                <c:pt idx="0">
                  <c:v>11.641652905100896</c:v>
                </c:pt>
                <c:pt idx="1">
                  <c:v>11.643108592278217</c:v>
                </c:pt>
                <c:pt idx="2">
                  <c:v>11.644685918143164</c:v>
                </c:pt>
                <c:pt idx="3">
                  <c:v>11.646383687289443</c:v>
                </c:pt>
                <c:pt idx="4">
                  <c:v>11.648200624266464</c:v>
                </c:pt>
                <c:pt idx="5">
                  <c:v>11.650135376901103</c:v>
                </c:pt>
                <c:pt idx="6">
                  <c:v>11.652186519769735</c:v>
                </c:pt>
                <c:pt idx="7">
                  <c:v>11.654352557803019</c:v>
                </c:pt>
                <c:pt idx="8">
                  <c:v>11.656631930005528</c:v>
                </c:pt>
                <c:pt idx="9">
                  <c:v>11.659023013272238</c:v>
                </c:pt>
                <c:pt idx="10">
                  <c:v>11.661524126283833</c:v>
                </c:pt>
                <c:pt idx="11">
                  <c:v>11.664133533462834</c:v>
                </c:pt>
                <c:pt idx="12">
                  <c:v>11.666849448972917</c:v>
                </c:pt>
                <c:pt idx="13">
                  <c:v>11.669670040743927</c:v>
                </c:pt>
                <c:pt idx="14">
                  <c:v>11.672593434505796</c:v>
                </c:pt>
                <c:pt idx="15">
                  <c:v>11.675617717814896</c:v>
                </c:pt>
                <c:pt idx="16">
                  <c:v>11.678740944057113</c:v>
                </c:pt>
                <c:pt idx="17">
                  <c:v>11.681961136412648</c:v>
                </c:pt>
                <c:pt idx="18">
                  <c:v>11.6852762917683</c:v>
                </c:pt>
                <c:pt idx="19">
                  <c:v>11.688684384563858</c:v>
                </c:pt>
                <c:pt idx="20">
                  <c:v>11.692183370560109</c:v>
                </c:pt>
                <c:pt idx="21">
                  <c:v>11.695771190516941</c:v>
                </c:pt>
                <c:pt idx="22">
                  <c:v>11.699445773770934</c:v>
                </c:pt>
                <c:pt idx="23">
                  <c:v>11.703205041702841</c:v>
                </c:pt>
                <c:pt idx="24">
                  <c:v>11.70704691108636</c:v>
                </c:pt>
                <c:pt idx="25">
                  <c:v>11.710969297310553</c:v>
                </c:pt>
                <c:pt idx="26">
                  <c:v>11.714970117469305</c:v>
                </c:pt>
                <c:pt idx="27">
                  <c:v>11.719047293312087</c:v>
                </c:pt>
                <c:pt idx="28">
                  <c:v>11.723198754051387</c:v>
                </c:pt>
                <c:pt idx="29">
                  <c:v>11.727422439022892</c:v>
                </c:pt>
                <c:pt idx="30">
                  <c:v>11.73171630019556</c:v>
                </c:pt>
                <c:pt idx="31">
                  <c:v>11.736078304529457</c:v>
                </c:pt>
                <c:pt idx="32">
                  <c:v>11.740506436180054</c:v>
                </c:pt>
                <c:pt idx="33">
                  <c:v>11.744998698548484</c:v>
                </c:pt>
                <c:pt idx="34">
                  <c:v>11.749553116177871</c:v>
                </c:pt>
                <c:pt idx="35">
                  <c:v>11.754167736496591</c:v>
                </c:pt>
                <c:pt idx="36">
                  <c:v>11.758840631409871</c:v>
                </c:pt>
                <c:pt idx="37">
                  <c:v>11.763569898741695</c:v>
                </c:pt>
                <c:pt idx="38">
                  <c:v>11.768353663529487</c:v>
                </c:pt>
                <c:pt idx="39">
                  <c:v>11.773190079174523</c:v>
                </c:pt>
                <c:pt idx="40">
                  <c:v>11.778077328451339</c:v>
                </c:pt>
                <c:pt idx="41">
                  <c:v>11.783013624379835</c:v>
                </c:pt>
                <c:pt idx="42">
                  <c:v>11.787997210964038</c:v>
                </c:pt>
                <c:pt idx="43">
                  <c:v>11.793026363801706</c:v>
                </c:pt>
                <c:pt idx="44">
                  <c:v>11.798099390569265</c:v>
                </c:pt>
                <c:pt idx="45">
                  <c:v>11.8032146313866</c:v>
                </c:pt>
                <c:pt idx="46">
                  <c:v>11.808370459066463</c:v>
                </c:pt>
                <c:pt idx="47">
                  <c:v>11.813565279253307</c:v>
                </c:pt>
                <c:pt idx="48">
                  <c:v>11.818797530456418</c:v>
                </c:pt>
                <c:pt idx="49">
                  <c:v>11.824065683982234</c:v>
                </c:pt>
                <c:pt idx="50">
                  <c:v>11.829368243770723</c:v>
                </c:pt>
                <c:pt idx="51">
                  <c:v>11.834703746140763</c:v>
                </c:pt>
                <c:pt idx="52">
                  <c:v>11.840070759449226</c:v>
                </c:pt>
                <c:pt idx="53">
                  <c:v>11.84546788366861</c:v>
                </c:pt>
                <c:pt idx="54">
                  <c:v>11.850893749887774</c:v>
                </c:pt>
                <c:pt idx="55">
                  <c:v>11.856347019740429</c:v>
                </c:pt>
                <c:pt idx="56">
                  <c:v>11.861826384765658</c:v>
                </c:pt>
                <c:pt idx="57">
                  <c:v>11.867330565704902</c:v>
                </c:pt>
                <c:pt idx="58">
                  <c:v>11.872858311739456</c:v>
                </c:pt>
                <c:pt idx="59">
                  <c:v>11.878408399672489</c:v>
                </c:pt>
                <c:pt idx="60">
                  <c:v>11.883979633059505</c:v>
                </c:pt>
                <c:pt idx="61">
                  <c:v>11.889570841290782</c:v>
                </c:pt>
                <c:pt idx="62">
                  <c:v>11.89518087862945</c:v>
                </c:pt>
                <c:pt idx="63">
                  <c:v>11.900808623208514</c:v>
                </c:pt>
                <c:pt idx="64">
                  <c:v>11.906452975989973</c:v>
                </c:pt>
                <c:pt idx="65">
                  <c:v>11.91211285968917</c:v>
                </c:pt>
                <c:pt idx="66">
                  <c:v>11.917787217667161</c:v>
                </c:pt>
                <c:pt idx="67">
                  <c:v>11.923475012793917</c:v>
                </c:pt>
                <c:pt idx="68">
                  <c:v>11.929175226284855</c:v>
                </c:pt>
                <c:pt idx="69">
                  <c:v>11.934886856513211</c:v>
                </c:pt>
                <c:pt idx="70">
                  <c:v>11.940608917800542</c:v>
                </c:pt>
                <c:pt idx="71">
                  <c:v>11.946340439187473</c:v>
                </c:pt>
                <c:pt idx="72">
                  <c:v>11.952080463186848</c:v>
                </c:pt>
                <c:pt idx="73">
                  <c:v>11.957828044521131</c:v>
                </c:pt>
                <c:pt idx="74">
                  <c:v>11.963582248845965</c:v>
                </c:pt>
                <c:pt idx="75">
                  <c:v>11.969342151461584</c:v>
                </c:pt>
                <c:pt idx="76">
                  <c:v>11.975106836013758</c:v>
                </c:pt>
                <c:pt idx="77">
                  <c:v>11.980875393185869</c:v>
                </c:pt>
                <c:pt idx="78">
                  <c:v>11.986646919383597</c:v>
                </c:pt>
                <c:pt idx="79">
                  <c:v>11.9924205154137</c:v>
                </c:pt>
                <c:pt idx="80">
                  <c:v>11.998195285158312</c:v>
                </c:pt>
                <c:pt idx="81">
                  <c:v>12.003970334246098</c:v>
                </c:pt>
                <c:pt idx="82">
                  <c:v>12.009744768721694</c:v>
                </c:pt>
                <c:pt idx="83">
                  <c:v>12.015517693714681</c:v>
                </c:pt>
                <c:pt idx="84">
                  <c:v>12.021288212109509</c:v>
                </c:pt>
                <c:pt idx="85">
                  <c:v>12.027055423217682</c:v>
                </c:pt>
                <c:pt idx="86">
                  <c:v>12.032818421453555</c:v>
                </c:pt>
                <c:pt idx="87">
                  <c:v>12.038576295015183</c:v>
                </c:pt>
                <c:pt idx="88">
                  <c:v>12.044328124571591</c:v>
                </c:pt>
                <c:pt idx="89">
                  <c:v>12.050072981957994</c:v>
                </c:pt>
                <c:pt idx="90">
                  <c:v>12.055809928880485</c:v>
                </c:pt>
                <c:pt idx="91">
                  <c:v>12.061538015631802</c:v>
                </c:pt>
                <c:pt idx="92">
                  <c:v>12.067256279819864</c:v>
                </c:pt>
                <c:pt idx="93">
                  <c:v>12.072963745110853</c:v>
                </c:pt>
                <c:pt idx="94">
                  <c:v>12.078659419988744</c:v>
                </c:pt>
                <c:pt idx="95">
                  <c:v>12.084342296533208</c:v>
                </c:pt>
                <c:pt idx="96">
                  <c:v>12.090011349218051</c:v>
                </c:pt>
                <c:pt idx="97">
                  <c:v>12.095665533732355</c:v>
                </c:pt>
                <c:pt idx="98">
                  <c:v>12.101303785826754</c:v>
                </c:pt>
                <c:pt idx="99">
                  <c:v>12.106925020187228</c:v>
                </c:pt>
                <c:pt idx="100">
                  <c:v>12.112528129339154</c:v>
                </c:pt>
                <c:pt idx="101">
                  <c:v>12.118111982584342</c:v>
                </c:pt>
                <c:pt idx="102">
                  <c:v>12.123675424974008</c:v>
                </c:pt>
                <c:pt idx="103">
                  <c:v>12.129217276320805</c:v>
                </c:pt>
                <c:pt idx="104">
                  <c:v>12.134736330253135</c:v>
                </c:pt>
                <c:pt idx="105">
                  <c:v>12.14023135331518</c:v>
                </c:pt>
                <c:pt idx="106">
                  <c:v>12.145701084116251</c:v>
                </c:pt>
                <c:pt idx="107">
                  <c:v>12.151144232533154</c:v>
                </c:pt>
                <c:pt idx="108">
                  <c:v>12.15655947896953</c:v>
                </c:pt>
                <c:pt idx="109">
                  <c:v>12.161945473676136</c:v>
                </c:pt>
                <c:pt idx="110">
                  <c:v>12.167300836136402</c:v>
                </c:pt>
                <c:pt idx="111">
                  <c:v>12.172624154521436</c:v>
                </c:pt>
                <c:pt idx="112">
                  <c:v>12.177913985219089</c:v>
                </c:pt>
                <c:pt idx="113">
                  <c:v>12.183168852441565</c:v>
                </c:pt>
                <c:pt idx="114">
                  <c:v>12.188387247916324</c:v>
                </c:pt>
                <c:pt idx="115">
                  <c:v>12.19356763066499</c:v>
                </c:pt>
                <c:pt idx="116">
                  <c:v>12.198708426875163</c:v>
                </c:pt>
                <c:pt idx="117">
                  <c:v>12.203808029869954</c:v>
                </c:pt>
                <c:pt idx="118">
                  <c:v>12.208864800180192</c:v>
                </c:pt>
                <c:pt idx="119">
                  <c:v>12.213877065724141</c:v>
                </c:pt>
                <c:pt idx="120">
                  <c:v>12.218843122099623</c:v>
                </c:pt>
                <c:pt idx="121">
                  <c:v>12.223761232993324</c:v>
                </c:pt>
                <c:pt idx="122">
                  <c:v>12.228629630711945</c:v>
                </c:pt>
                <c:pt idx="123">
                  <c:v>12.233446516839724</c:v>
                </c:pt>
                <c:pt idx="124">
                  <c:v>12.238210063026736</c:v>
                </c:pt>
                <c:pt idx="125">
                  <c:v>12.242918411912022</c:v>
                </c:pt>
                <c:pt idx="126">
                  <c:v>12.24756967818548</c:v>
                </c:pt>
                <c:pt idx="127">
                  <c:v>12.252161949791985</c:v>
                </c:pt>
                <c:pt idx="128">
                  <c:v>12.25669328928098</c:v>
                </c:pt>
                <c:pt idx="129">
                  <c:v>12.261161735304249</c:v>
                </c:pt>
                <c:pt idx="130">
                  <c:v>12.265565304264189</c:v>
                </c:pt>
                <c:pt idx="131">
                  <c:v>12.269901992114322</c:v>
                </c:pt>
                <c:pt idx="132">
                  <c:v>12.2741697763133</c:v>
                </c:pt>
                <c:pt idx="133">
                  <c:v>12.278366617932944</c:v>
                </c:pt>
                <c:pt idx="134">
                  <c:v>12.282490463920213</c:v>
                </c:pt>
                <c:pt idx="135">
                  <c:v>12.286539249512327</c:v>
                </c:pt>
                <c:pt idx="136">
                  <c:v>12.290510900803421</c:v>
                </c:pt>
                <c:pt idx="137">
                  <c:v>12.29440333746034</c:v>
                </c:pt>
                <c:pt idx="138">
                  <c:v>12.298214475584295</c:v>
                </c:pt>
                <c:pt idx="139">
                  <c:v>12.301942230714273</c:v>
                </c:pt>
                <c:pt idx="140">
                  <c:v>12.305584520967047</c:v>
                </c:pt>
                <c:pt idx="141">
                  <c:v>12.309139270307817</c:v>
                </c:pt>
                <c:pt idx="142">
                  <c:v>12.312604411944445</c:v>
                </c:pt>
                <c:pt idx="143">
                  <c:v>12.315977891837294</c:v>
                </c:pt>
                <c:pt idx="144">
                  <c:v>12.319257672315675</c:v>
                </c:pt>
                <c:pt idx="145">
                  <c:v>12.322441735790969</c:v>
                </c:pt>
                <c:pt idx="146">
                  <c:v>12.325528088555435</c:v>
                </c:pt>
                <c:pt idx="147">
                  <c:v>12.328514764654813</c:v>
                </c:pt>
                <c:pt idx="148">
                  <c:v>12.331399829821919</c:v>
                </c:pt>
                <c:pt idx="149">
                  <c:v>12.33418138545751</c:v>
                </c:pt>
                <c:pt idx="150">
                  <c:v>12.3368575726439</c:v>
                </c:pt>
                <c:pt idx="151">
                  <c:v>12.339426576176011</c:v>
                </c:pt>
                <c:pt idx="152">
                  <c:v>12.341886628593898</c:v>
                </c:pt>
                <c:pt idx="153">
                  <c:v>12.344236014200169</c:v>
                </c:pt>
                <c:pt idx="154">
                  <c:v>12.346473073045134</c:v>
                </c:pt>
                <c:pt idx="155">
                  <c:v>12.348596204862226</c:v>
                </c:pt>
                <c:pt idx="156">
                  <c:v>12.350603872935869</c:v>
                </c:pt>
                <c:pt idx="157">
                  <c:v>12.352494607883736</c:v>
                </c:pt>
                <c:pt idx="158">
                  <c:v>12.354267011335461</c:v>
                </c:pt>
                <c:pt idx="159">
                  <c:v>12.355919759489675</c:v>
                </c:pt>
                <c:pt idx="160">
                  <c:v>12.357451606531757</c:v>
                </c:pt>
                <c:pt idx="161">
                  <c:v>12.358861387894772</c:v>
                </c:pt>
                <c:pt idx="162">
                  <c:v>12.36014802334673</c:v>
                </c:pt>
                <c:pt idx="163">
                  <c:v>12.361310519887835</c:v>
                </c:pt>
                <c:pt idx="164">
                  <c:v>12.362347974442223</c:v>
                </c:pt>
                <c:pt idx="165">
                  <c:v>12.363259576329542</c:v>
                </c:pt>
                <c:pt idx="166">
                  <c:v>12.364044609502759</c:v>
                </c:pt>
                <c:pt idx="167">
                  <c:v>12.364702454539787</c:v>
                </c:pt>
                <c:pt idx="168">
                  <c:v>12.365232590377635</c:v>
                </c:pt>
                <c:pt idx="169">
                  <c:v>12.365634595779399</c:v>
                </c:pt>
                <c:pt idx="170">
                  <c:v>12.365908150525589</c:v>
                </c:pt>
                <c:pt idx="171">
                  <c:v>12.366053036323024</c:v>
                </c:pt>
                <c:pt idx="172">
                  <c:v>12.36606913742602</c:v>
                </c:pt>
                <c:pt idx="173">
                  <c:v>12.365956440966299</c:v>
                </c:pt>
                <c:pt idx="174">
                  <c:v>12.365715036989686</c:v>
                </c:pt>
                <c:pt idx="175">
                  <c:v>12.365345118199398</c:v>
                </c:pt>
                <c:pt idx="176">
                  <c:v>12.364846979407396</c:v>
                </c:pt>
                <c:pt idx="177">
                  <c:v>12.364221016696989</c:v>
                </c:pt>
                <c:pt idx="178">
                  <c:v>12.363467726301533</c:v>
                </c:pt>
                <c:pt idx="179">
                  <c:v>12.36258770320565</c:v>
                </c:pt>
                <c:pt idx="180">
                  <c:v>12.361581639476965</c:v>
                </c:pt>
                <c:pt idx="181">
                  <c:v>12.360450322337893</c:v>
                </c:pt>
                <c:pt idx="182">
                  <c:v>12.359194631988212</c:v>
                </c:pt>
                <c:pt idx="183">
                  <c:v>12.357815539190733</c:v>
                </c:pt>
                <c:pt idx="184">
                  <c:v>12.356314102633247</c:v>
                </c:pt>
                <c:pt idx="185">
                  <c:v>12.354691466081231</c:v>
                </c:pt>
                <c:pt idx="186">
                  <c:v>12.352948855336599</c:v>
                </c:pt>
                <c:pt idx="187">
                  <c:v>12.351087575018617</c:v>
                </c:pt>
                <c:pt idx="188">
                  <c:v>12.349109005183733</c:v>
                </c:pt>
                <c:pt idx="189">
                  <c:v>12.347014597801717</c:v>
                </c:pt>
                <c:pt idx="190">
                  <c:v>12.344805873105685</c:v>
                </c:pt>
                <c:pt idx="191">
                  <c:v>12.342484415834031</c:v>
                </c:pt>
                <c:pt idx="192">
                  <c:v>12.340051871382274</c:v>
                </c:pt>
                <c:pt idx="193">
                  <c:v>12.337509941882853</c:v>
                </c:pt>
                <c:pt idx="194">
                  <c:v>12.334860382230746</c:v>
                </c:pt>
                <c:pt idx="195">
                  <c:v>12.332104996072484</c:v>
                </c:pt>
                <c:pt idx="196">
                  <c:v>12.329245631775857</c:v>
                </c:pt>
                <c:pt idx="197">
                  <c:v>12.326284178396941</c:v>
                </c:pt>
                <c:pt idx="198">
                  <c:v>12.323222561660678</c:v>
                </c:pt>
                <c:pt idx="199">
                  <c:v>12.32006273997041</c:v>
                </c:pt>
                <c:pt idx="200">
                  <c:v>12.31680670046118</c:v>
                </c:pt>
                <c:pt idx="201">
                  <c:v>12.313456455110623</c:v>
                </c:pt>
                <c:pt idx="202">
                  <c:v>12.310014036920551</c:v>
                </c:pt>
                <c:pt idx="203">
                  <c:v>12.306481496181362</c:v>
                </c:pt>
                <c:pt idx="204">
                  <c:v>12.302860896830444</c:v>
                </c:pt>
                <c:pt idx="205">
                  <c:v>12.299154312914796</c:v>
                </c:pt>
                <c:pt idx="206">
                  <c:v>12.29536382516712</c:v>
                </c:pt>
                <c:pt idx="207">
                  <c:v>12.291491517703571</c:v>
                </c:pt>
                <c:pt idx="208">
                  <c:v>12.287539474850492</c:v>
                </c:pt>
                <c:pt idx="209">
                  <c:v>12.283509778106344</c:v>
                </c:pt>
                <c:pt idx="210">
                  <c:v>12.279404503244184</c:v>
                </c:pt>
                <c:pt idx="211">
                  <c:v>12.275225717559051</c:v>
                </c:pt>
                <c:pt idx="212">
                  <c:v>12.270975477263798</c:v>
                </c:pt>
                <c:pt idx="213">
                  <c:v>12.266655825035881</c:v>
                </c:pt>
                <c:pt idx="214">
                  <c:v>12.262268787717005</c:v>
                </c:pt>
                <c:pt idx="215">
                  <c:v>12.257816374166559</c:v>
                </c:pt>
                <c:pt idx="216">
                  <c:v>12.253300573269147</c:v>
                </c:pt>
                <c:pt idx="217">
                  <c:v>12.248723352095784</c:v>
                </c:pt>
                <c:pt idx="218">
                  <c:v>12.244086654217691</c:v>
                </c:pt>
                <c:pt idx="219">
                  <c:v>12.239392398171125</c:v>
                </c:pt>
                <c:pt idx="220">
                  <c:v>12.234642476070963</c:v>
                </c:pt>
                <c:pt idx="221">
                  <c:v>12.229838752370494</c:v>
                </c:pt>
                <c:pt idx="222">
                  <c:v>12.224983062764313</c:v>
                </c:pt>
                <c:pt idx="223">
                  <c:v>12.220077213230807</c:v>
                </c:pt>
                <c:pt idx="224">
                  <c:v>12.215122979210584</c:v>
                </c:pt>
                <c:pt idx="225">
                  <c:v>12.210122104916609</c:v>
                </c:pt>
                <c:pt idx="226">
                  <c:v>12.205076302771884</c:v>
                </c:pt>
                <c:pt idx="227">
                  <c:v>12.199987252970148</c:v>
                </c:pt>
                <c:pt idx="228">
                  <c:v>12.19485660315487</c:v>
                </c:pt>
                <c:pt idx="229">
                  <c:v>12.189685968211895</c:v>
                </c:pt>
                <c:pt idx="230">
                  <c:v>12.184476930170813</c:v>
                </c:pt>
                <c:pt idx="231">
                  <c:v>12.179231038210226</c:v>
                </c:pt>
                <c:pt idx="232">
                  <c:v>12.173949808761948</c:v>
                </c:pt>
                <c:pt idx="233">
                  <c:v>12.168634725709341</c:v>
                </c:pt>
                <c:pt idx="234">
                  <c:v>12.163287240674851</c:v>
                </c:pt>
                <c:pt idx="235">
                  <c:v>12.157908773392023</c:v>
                </c:pt>
                <c:pt idx="236">
                  <c:v>12.152500712157234</c:v>
                </c:pt>
                <c:pt idx="237">
                  <c:v>12.147064414356585</c:v>
                </c:pt>
                <c:pt idx="238">
                  <c:v>12.141601207063413</c:v>
                </c:pt>
                <c:pt idx="239">
                  <c:v>12.136112387702077</c:v>
                </c:pt>
                <c:pt idx="240">
                  <c:v>12.130599224773777</c:v>
                </c:pt>
                <c:pt idx="241">
                  <c:v>12.125062958640292</c:v>
                </c:pt>
                <c:pt idx="242">
                  <c:v>12.11950480236178</c:v>
                </c:pt>
                <c:pt idx="243">
                  <c:v>12.113925942584716</c:v>
                </c:pt>
                <c:pt idx="244">
                  <c:v>12.108327540476493</c:v>
                </c:pt>
                <c:pt idx="245">
                  <c:v>12.102710732703141</c:v>
                </c:pt>
                <c:pt idx="246">
                  <c:v>12.097076632446869</c:v>
                </c:pt>
                <c:pt idx="247">
                  <c:v>12.091426330460347</c:v>
                </c:pt>
                <c:pt idx="248">
                  <c:v>12.08576089615466</c:v>
                </c:pt>
                <c:pt idx="249">
                  <c:v>12.080081378718207</c:v>
                </c:pt>
                <c:pt idx="250">
                  <c:v>12.074388808263778</c:v>
                </c:pt>
                <c:pt idx="251">
                  <c:v>12.068684197001376</c:v>
                </c:pt>
                <c:pt idx="252">
                  <c:v>12.062968540434301</c:v>
                </c:pt>
                <c:pt idx="253">
                  <c:v>12.057242818576304</c:v>
                </c:pt>
                <c:pt idx="254">
                  <c:v>12.051507997187672</c:v>
                </c:pt>
                <c:pt idx="255">
                  <c:v>12.045765029028212</c:v>
                </c:pt>
                <c:pt idx="256">
                  <c:v>12.040014855125245</c:v>
                </c:pt>
                <c:pt idx="257">
                  <c:v>12.034258406054805</c:v>
                </c:pt>
                <c:pt idx="258">
                  <c:v>12.028496603234336</c:v>
                </c:pt>
                <c:pt idx="259">
                  <c:v>12.02273036022526</c:v>
                </c:pt>
                <c:pt idx="260">
                  <c:v>12.016960584043851</c:v>
                </c:pt>
                <c:pt idx="261">
                  <c:v>12.011188176478921</c:v>
                </c:pt>
                <c:pt idx="262">
                  <c:v>12.005414035414894</c:v>
                </c:pt>
                <c:pt idx="263">
                  <c:v>11.999639056158838</c:v>
                </c:pt>
                <c:pt idx="264">
                  <c:v>11.993864132770117</c:v>
                </c:pt>
                <c:pt idx="265">
                  <c:v>11.988090159391287</c:v>
                </c:pt>
                <c:pt idx="266">
                  <c:v>11.982318031578918</c:v>
                </c:pt>
                <c:pt idx="267">
                  <c:v>11.976548647632971</c:v>
                </c:pt>
                <c:pt idx="268">
                  <c:v>11.970782909923434</c:v>
                </c:pt>
                <c:pt idx="269">
                  <c:v>11.965021726212791</c:v>
                </c:pt>
                <c:pt idx="270">
                  <c:v>11.959266010972929</c:v>
                </c:pt>
                <c:pt idx="271">
                  <c:v>11.953516686695073</c:v>
                </c:pt>
                <c:pt idx="272">
                  <c:v>11.947774685191193</c:v>
                </c:pt>
                <c:pt idx="273">
                  <c:v>11.942040948885358</c:v>
                </c:pt>
                <c:pt idx="274">
                  <c:v>11.936316432093383</c:v>
                </c:pt>
                <c:pt idx="275">
                  <c:v>11.930602102289042</c:v>
                </c:pt>
                <c:pt idx="276">
                  <c:v>11.92489894135505</c:v>
                </c:pt>
                <c:pt idx="277">
                  <c:v>11.919207946816897</c:v>
                </c:pt>
                <c:pt idx="278">
                  <c:v>11.913530133057471</c:v>
                </c:pt>
                <c:pt idx="279">
                  <c:v>11.907866532510381</c:v>
                </c:pt>
                <c:pt idx="280">
                  <c:v>11.902218196829686</c:v>
                </c:pt>
                <c:pt idx="281">
                  <c:v>11.896586198033592</c:v>
                </c:pt>
                <c:pt idx="282">
                  <c:v>11.890971629619617</c:v>
                </c:pt>
                <c:pt idx="283">
                  <c:v>11.885375607648522</c:v>
                </c:pt>
                <c:pt idx="284">
                  <c:v>11.879799271794143</c:v>
                </c:pt>
                <c:pt idx="285">
                  <c:v>11.874243786356143</c:v>
                </c:pt>
                <c:pt idx="286">
                  <c:v>11.868710341232523</c:v>
                </c:pt>
                <c:pt idx="287">
                  <c:v>11.863200152848568</c:v>
                </c:pt>
                <c:pt idx="288">
                  <c:v>11.857714465038747</c:v>
                </c:pt>
                <c:pt idx="289">
                  <c:v>11.852254549877944</c:v>
                </c:pt>
                <c:pt idx="290">
                  <c:v>11.846821708458174</c:v>
                </c:pt>
                <c:pt idx="291">
                  <c:v>11.84141727160689</c:v>
                </c:pt>
                <c:pt idx="292">
                  <c:v>11.836042600542704</c:v>
                </c:pt>
                <c:pt idx="293">
                  <c:v>11.830699087464327</c:v>
                </c:pt>
                <c:pt idx="294">
                  <c:v>11.8253881560683</c:v>
                </c:pt>
                <c:pt idx="295">
                  <c:v>11.820111261991022</c:v>
                </c:pt>
                <c:pt idx="296">
                  <c:v>11.814869893170476</c:v>
                </c:pt>
                <c:pt idx="297">
                  <c:v>11.809665570122858</c:v>
                </c:pt>
                <c:pt idx="298">
                  <c:v>11.804499846129428</c:v>
                </c:pt>
                <c:pt idx="299">
                  <c:v>11.7993743073286</c:v>
                </c:pt>
                <c:pt idx="300">
                  <c:v>11.794290572708507</c:v>
                </c:pt>
                <c:pt idx="301">
                  <c:v>11.789250293995019</c:v>
                </c:pt>
                <c:pt idx="302">
                  <c:v>11.784255155430468</c:v>
                </c:pt>
                <c:pt idx="303">
                  <c:v>11.779306873438111</c:v>
                </c:pt>
                <c:pt idx="304">
                  <c:v>11.77440719616769</c:v>
                </c:pt>
                <c:pt idx="305">
                  <c:v>11.769557902917418</c:v>
                </c:pt>
                <c:pt idx="306">
                  <c:v>11.764760803427896</c:v>
                </c:pt>
                <c:pt idx="307">
                  <c:v>11.760017737043739</c:v>
                </c:pt>
                <c:pt idx="308">
                  <c:v>11.75533057173884</c:v>
                </c:pt>
                <c:pt idx="309">
                  <c:v>11.750701203001547</c:v>
                </c:pt>
                <c:pt idx="310">
                  <c:v>11.746131552576323</c:v>
                </c:pt>
                <c:pt idx="311">
                  <c:v>11.741623567058905</c:v>
                </c:pt>
                <c:pt idx="312">
                  <c:v>11.737179216342339</c:v>
                </c:pt>
                <c:pt idx="313">
                  <c:v>11.732800491911775</c:v>
                </c:pt>
                <c:pt idx="314">
                  <c:v>11.728489404986512</c:v>
                </c:pt>
                <c:pt idx="315">
                  <c:v>11.724247984508279</c:v>
                </c:pt>
                <c:pt idx="316">
                  <c:v>11.720078274975405</c:v>
                </c:pt>
                <c:pt idx="317">
                  <c:v>11.715982334123284</c:v>
                </c:pt>
                <c:pt idx="318">
                  <c:v>11.711962230452206</c:v>
                </c:pt>
                <c:pt idx="319">
                  <c:v>11.70802004060444</c:v>
                </c:pt>
                <c:pt idx="320">
                  <c:v>11.70415784659332</c:v>
                </c:pt>
                <c:pt idx="321">
                  <c:v>11.700377732887887</c:v>
                </c:pt>
                <c:pt idx="322">
                  <c:v>11.696681783357613</c:v>
                </c:pt>
                <c:pt idx="323">
                  <c:v>11.693072078082649</c:v>
                </c:pt>
                <c:pt idx="324">
                  <c:v>11.689550690035942</c:v>
                </c:pt>
                <c:pt idx="325">
                  <c:v>11.686119681644694</c:v>
                </c:pt>
                <c:pt idx="326">
                  <c:v>11.682781101239405</c:v>
                </c:pt>
                <c:pt idx="327">
                  <c:v>11.679536979399966</c:v>
                </c:pt>
                <c:pt idx="328">
                  <c:v>11.676389325209078</c:v>
                </c:pt>
                <c:pt idx="329">
                  <c:v>11.673340122424316</c:v>
                </c:pt>
                <c:pt idx="330">
                  <c:v>11.670391325581091</c:v>
                </c:pt>
                <c:pt idx="331">
                  <c:v>11.66754485603971</c:v>
                </c:pt>
                <c:pt idx="332">
                  <c:v>11.664802597990446</c:v>
                </c:pt>
                <c:pt idx="333">
                  <c:v>11.662166394431596</c:v>
                </c:pt>
                <c:pt idx="334">
                  <c:v>11.659638043135917</c:v>
                </c:pt>
                <c:pt idx="335">
                  <c:v>11.657219292621839</c:v>
                </c:pt>
                <c:pt idx="336">
                  <c:v>11.654911838146088</c:v>
                </c:pt>
                <c:pt idx="337">
                  <c:v>11.652717317735128</c:v>
                </c:pt>
                <c:pt idx="338">
                  <c:v>11.650637308272966</c:v>
                </c:pt>
                <c:pt idx="339">
                  <c:v>11.648673321663276</c:v>
                </c:pt>
                <c:pt idx="340">
                  <c:v>11.646826801083852</c:v>
                </c:pt>
                <c:pt idx="341">
                  <c:v>11.645099117351439</c:v>
                </c:pt>
                <c:pt idx="342">
                  <c:v>11.643491565414836</c:v>
                </c:pt>
                <c:pt idx="343">
                  <c:v>11.642005360993954</c:v>
                </c:pt>
                <c:pt idx="344">
                  <c:v>11.640641637382064</c:v>
                </c:pt>
                <c:pt idx="345">
                  <c:v>11.639401442427896</c:v>
                </c:pt>
                <c:pt idx="346">
                  <c:v>11.638285735713691</c:v>
                </c:pt>
                <c:pt idx="347">
                  <c:v>11.637295385944366</c:v>
                </c:pt>
                <c:pt idx="348">
                  <c:v>11.636431168562048</c:v>
                </c:pt>
                <c:pt idx="349">
                  <c:v>11.635693763599225</c:v>
                </c:pt>
                <c:pt idx="350">
                  <c:v>11.635083753782389</c:v>
                </c:pt>
                <c:pt idx="351">
                  <c:v>11.634601622897016</c:v>
                </c:pt>
                <c:pt idx="352">
                  <c:v>11.634247754423056</c:v>
                </c:pt>
                <c:pt idx="353">
                  <c:v>11.634022430448791</c:v>
                </c:pt>
                <c:pt idx="354">
                  <c:v>11.6339258308693</c:v>
                </c:pt>
                <c:pt idx="355">
                  <c:v>11.633958032874181</c:v>
                </c:pt>
                <c:pt idx="356">
                  <c:v>11.634119010727442</c:v>
                </c:pt>
                <c:pt idx="357">
                  <c:v>11.634408635840931</c:v>
                </c:pt>
                <c:pt idx="358">
                  <c:v>11.634826677140756</c:v>
                </c:pt>
                <c:pt idx="359">
                  <c:v>11.635372801724703</c:v>
                </c:pt>
                <c:pt idx="360">
                  <c:v>11.636046575806724</c:v>
                </c:pt>
                <c:pt idx="361">
                  <c:v>11.636847465943163</c:v>
                </c:pt>
                <c:pt idx="362">
                  <c:v>11.637774840533584</c:v>
                </c:pt>
                <c:pt idx="363">
                  <c:v>11.638827971587716</c:v>
                </c:pt>
                <c:pt idx="364">
                  <c:v>11.640006036748467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2-4FB6-B03A-BE30C2BED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803696"/>
        <c:axId val="1948685104"/>
      </c:scatterChart>
      <c:valAx>
        <c:axId val="194880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8685104"/>
        <c:crosses val="autoZero"/>
        <c:crossBetween val="midCat"/>
      </c:valAx>
      <c:valAx>
        <c:axId val="19486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880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Angulo de declinação ao longo do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Planilha1!$J$6:$J$365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Planilha1!$Q$6:$Q$365</c:f>
              <c:numCache>
                <c:formatCode>General</c:formatCode>
                <c:ptCount val="360"/>
                <c:pt idx="0">
                  <c:v>-23.007103272114684</c:v>
                </c:pt>
                <c:pt idx="1">
                  <c:v>-22.923379809080362</c:v>
                </c:pt>
                <c:pt idx="2">
                  <c:v>-22.832542540048451</c:v>
                </c:pt>
                <c:pt idx="3">
                  <c:v>-22.734632348837053</c:v>
                </c:pt>
                <c:pt idx="4">
                  <c:v>-22.629693101131775</c:v>
                </c:pt>
                <c:pt idx="5">
                  <c:v>-22.517771581576369</c:v>
                </c:pt>
                <c:pt idx="6">
                  <c:v>-22.398917427523493</c:v>
                </c:pt>
                <c:pt idx="7">
                  <c:v>-22.273183059696706</c:v>
                </c:pt>
                <c:pt idx="8">
                  <c:v>-22.140623610021933</c:v>
                </c:pt>
                <c:pt idx="9">
                  <c:v>-22.001296846892242</c:v>
                </c:pt>
                <c:pt idx="10">
                  <c:v>-21.855263098133879</c:v>
                </c:pt>
                <c:pt idx="11">
                  <c:v>-21.702585171944008</c:v>
                </c:pt>
                <c:pt idx="12">
                  <c:v>-21.543328276071396</c:v>
                </c:pt>
                <c:pt idx="13">
                  <c:v>-21.377559935510998</c:v>
                </c:pt>
                <c:pt idx="14">
                  <c:v>-21.205349908981162</c:v>
                </c:pt>
                <c:pt idx="15">
                  <c:v>-21.026770104449017</c:v>
                </c:pt>
                <c:pt idx="16">
                  <c:v>-20.84189449396488</c:v>
                </c:pt>
                <c:pt idx="17">
                  <c:v>-20.650799028060895</c:v>
                </c:pt>
                <c:pt idx="18">
                  <c:v>-20.453561549962046</c:v>
                </c:pt>
                <c:pt idx="19">
                  <c:v>-20.250261709849791</c:v>
                </c:pt>
                <c:pt idx="20">
                  <c:v>-20.040980879410032</c:v>
                </c:pt>
                <c:pt idx="21">
                  <c:v>-19.825802066887128</c:v>
                </c:pt>
                <c:pt idx="22">
                  <c:v>-19.604809832855736</c:v>
                </c:pt>
                <c:pt idx="23">
                  <c:v>-19.378090206911196</c:v>
                </c:pt>
                <c:pt idx="24">
                  <c:v>-19.145730605467822</c:v>
                </c:pt>
                <c:pt idx="25">
                  <c:v>-18.907819750842808</c:v>
                </c:pt>
                <c:pt idx="26">
                  <c:v>-18.664447591791308</c:v>
                </c:pt>
                <c:pt idx="27">
                  <c:v>-18.415705225646075</c:v>
                </c:pt>
                <c:pt idx="28">
                  <c:v>-18.161684822202659</c:v>
                </c:pt>
                <c:pt idx="29">
                  <c:v>-17.902479549478858</c:v>
                </c:pt>
                <c:pt idx="30">
                  <c:v>-17.63818350146472</c:v>
                </c:pt>
                <c:pt idx="31">
                  <c:v>-17.368891627967248</c:v>
                </c:pt>
                <c:pt idx="32">
                  <c:v>-17.094699666642004</c:v>
                </c:pt>
                <c:pt idx="33">
                  <c:v>-16.815704077291965</c:v>
                </c:pt>
                <c:pt idx="34">
                  <c:v>-16.532001978502617</c:v>
                </c:pt>
                <c:pt idx="35">
                  <c:v>-16.243691086671245</c:v>
                </c:pt>
                <c:pt idx="36">
                  <c:v>-15.950869657477456</c:v>
                </c:pt>
                <c:pt idx="37">
                  <c:v>-15.653636429832053</c:v>
                </c:pt>
                <c:pt idx="38">
                  <c:v>-15.35209057233121</c:v>
                </c:pt>
                <c:pt idx="39">
                  <c:v>-15.04633163223385</c:v>
                </c:pt>
                <c:pt idx="40">
                  <c:v>-14.7364594869711</c:v>
                </c:pt>
                <c:pt idx="41">
                  <c:v>-14.42257429818849</c:v>
                </c:pt>
                <c:pt idx="42">
                  <c:v>-14.104776468313684</c:v>
                </c:pt>
                <c:pt idx="43">
                  <c:v>-13.783166599635244</c:v>
                </c:pt>
                <c:pt idx="44">
                  <c:v>-13.457845455871171</c:v>
                </c:pt>
                <c:pt idx="45">
                  <c:v>-13.128913926199649</c:v>
                </c:pt>
                <c:pt idx="46">
                  <c:v>-12.796472991718746</c:v>
                </c:pt>
                <c:pt idx="47">
                  <c:v>-12.460623694296386</c:v>
                </c:pt>
                <c:pt idx="48">
                  <c:v>-12.121467107767325</c:v>
                </c:pt>
                <c:pt idx="49">
                  <c:v>-11.779104311429272</c:v>
                </c:pt>
                <c:pt idx="50">
                  <c:v>-11.433636365786711</c:v>
                </c:pt>
                <c:pt idx="51">
                  <c:v>-11.085164290487159</c:v>
                </c:pt>
                <c:pt idx="52">
                  <c:v>-10.733789044391836</c:v>
                </c:pt>
                <c:pt idx="53">
                  <c:v>-10.379611507719856</c:v>
                </c:pt>
                <c:pt idx="54">
                  <c:v>-10.022732466202818</c:v>
                </c:pt>
                <c:pt idx="55">
                  <c:v>-9.6632525971845808</c:v>
                </c:pt>
                <c:pt idx="56">
                  <c:v>-9.3012724575994348</c:v>
                </c:pt>
                <c:pt idx="57">
                  <c:v>-8.9368924737605084</c:v>
                </c:pt>
                <c:pt idx="58">
                  <c:v>-8.5702129328889409</c:v>
                </c:pt>
                <c:pt idx="59">
                  <c:v>-8.2013339763137303</c:v>
                </c:pt>
                <c:pt idx="60">
                  <c:v>-7.8303555942712988</c:v>
                </c:pt>
                <c:pt idx="61">
                  <c:v>-7.4573776222335315</c:v>
                </c:pt>
                <c:pt idx="62">
                  <c:v>-7.0824997386925368</c:v>
                </c:pt>
                <c:pt idx="63">
                  <c:v>-6.7058214643305396</c:v>
                </c:pt>
                <c:pt idx="64">
                  <c:v>-6.3274421625031128</c:v>
                </c:pt>
                <c:pt idx="65">
                  <c:v>-5.9474610409640727</c:v>
                </c:pt>
                <c:pt idx="66">
                  <c:v>-5.5659771547608354</c:v>
                </c:pt>
                <c:pt idx="67">
                  <c:v>-5.1830894102290426</c:v>
                </c:pt>
                <c:pt idx="68">
                  <c:v>-4.7988965700157795</c:v>
                </c:pt>
                <c:pt idx="69">
                  <c:v>-4.4134972590612414</c:v>
                </c:pt>
                <c:pt idx="70">
                  <c:v>-4.0269899714689554</c:v>
                </c:pt>
                <c:pt idx="71">
                  <c:v>-3.6394730781952793</c:v>
                </c:pt>
                <c:pt idx="72">
                  <c:v>-3.2510448354893922</c:v>
                </c:pt>
                <c:pt idx="73">
                  <c:v>-2.8618033940155159</c:v>
                </c:pt>
                <c:pt idx="74">
                  <c:v>-2.4718468085894516</c:v>
                </c:pt>
                <c:pt idx="75">
                  <c:v>-2.0812730484621302</c:v>
                </c:pt>
                <c:pt idx="76">
                  <c:v>-1.6901800080834291</c:v>
                </c:pt>
                <c:pt idx="77">
                  <c:v>-1.2986655182793552</c:v>
                </c:pt>
                <c:pt idx="78">
                  <c:v>-0.90682735777695611</c:v>
                </c:pt>
                <c:pt idx="79">
                  <c:v>-0.51476326501071212</c:v>
                </c:pt>
                <c:pt idx="80">
                  <c:v>-0.12257095014506882</c:v>
                </c:pt>
                <c:pt idx="81">
                  <c:v>0.26965189275232671</c:v>
                </c:pt>
                <c:pt idx="82">
                  <c:v>0.66180757345192587</c:v>
                </c:pt>
                <c:pt idx="83">
                  <c:v>1.0537983932831796</c:v>
                </c:pt>
                <c:pt idx="84">
                  <c:v>1.4455266329002587</c:v>
                </c:pt>
                <c:pt idx="85">
                  <c:v>1.8368945401576811</c:v>
                </c:pt>
                <c:pt idx="86">
                  <c:v>2.2278043181611729</c:v>
                </c:pt>
                <c:pt idx="87">
                  <c:v>2.6181581135590908</c:v>
                </c:pt>
                <c:pt idx="88">
                  <c:v>3.0078580051402644</c:v>
                </c:pt>
                <c:pt idx="89">
                  <c:v>3.3968059928039533</c:v>
                </c:pt>
                <c:pt idx="90">
                  <c:v>3.7849039869684016</c:v>
                </c:pt>
                <c:pt idx="91">
                  <c:v>4.1720537984844945</c:v>
                </c:pt>
                <c:pt idx="92">
                  <c:v>4.5581571291217395</c:v>
                </c:pt>
                <c:pt idx="93">
                  <c:v>4.9431155626938006</c:v>
                </c:pt>
                <c:pt idx="94">
                  <c:v>5.3268305568920482</c:v>
                </c:pt>
                <c:pt idx="95">
                  <c:v>5.7092034358950841</c:v>
                </c:pt>
                <c:pt idx="96">
                  <c:v>6.0901353838236334</c:v>
                </c:pt>
                <c:pt idx="97">
                  <c:v>6.4695274391100988</c:v>
                </c:pt>
                <c:pt idx="98">
                  <c:v>6.8472804898527881</c:v>
                </c:pt>
                <c:pt idx="99">
                  <c:v>7.2232952702252096</c:v>
                </c:pt>
                <c:pt idx="100">
                  <c:v>7.5974723580113048</c:v>
                </c:pt>
                <c:pt idx="101">
                  <c:v>7.9697121733377907</c:v>
                </c:pt>
                <c:pt idx="102">
                  <c:v>8.3399149786750293</c:v>
                </c:pt>
                <c:pt idx="103">
                  <c:v>8.7079808801781748</c:v>
                </c:pt>
                <c:pt idx="104">
                  <c:v>9.0738098304402275</c:v>
                </c:pt>
                <c:pt idx="105">
                  <c:v>9.4373016327288504</c:v>
                </c:pt>
                <c:pt idx="106">
                  <c:v>9.7983559467783206</c:v>
                </c:pt>
                <c:pt idx="107">
                  <c:v>10.156872296207926</c:v>
                </c:pt>
                <c:pt idx="108">
                  <c:v>10.512750077637381</c:v>
                </c:pt>
                <c:pt idx="109">
                  <c:v>10.865888571569217</c:v>
                </c:pt>
                <c:pt idx="110">
                  <c:v>11.216186955107037</c:v>
                </c:pt>
                <c:pt idx="111">
                  <c:v>11.563544316577484</c:v>
                </c:pt>
                <c:pt idx="112">
                  <c:v>11.907859672121972</c:v>
                </c:pt>
                <c:pt idx="113">
                  <c:v>12.24903198432283</c:v>
                </c:pt>
                <c:pt idx="114">
                  <c:v>12.586960182925983</c:v>
                </c:pt>
                <c:pt idx="115">
                  <c:v>12.921543187720248</c:v>
                </c:pt>
                <c:pt idx="116">
                  <c:v>13.252679933630134</c:v>
                </c:pt>
                <c:pt idx="117">
                  <c:v>13.580269398075966</c:v>
                </c:pt>
                <c:pt idx="118">
                  <c:v>13.904210630651781</c:v>
                </c:pt>
                <c:pt idx="119">
                  <c:v>14.22440278516676</c:v>
                </c:pt>
                <c:pt idx="120">
                  <c:v>14.540745154092237</c:v>
                </c:pt>
                <c:pt idx="121">
                  <c:v>14.853137205450604</c:v>
                </c:pt>
                <c:pt idx="122">
                  <c:v>15.161478622177581</c:v>
                </c:pt>
                <c:pt idx="123">
                  <c:v>15.465669343982878</c:v>
                </c:pt>
                <c:pt idx="124">
                  <c:v>15.76560961172834</c:v>
                </c:pt>
                <c:pt idx="125">
                  <c:v>16.061200014334968</c:v>
                </c:pt>
                <c:pt idx="126">
                  <c:v>16.352341538223602</c:v>
                </c:pt>
                <c:pt idx="127">
                  <c:v>16.638935619285181</c:v>
                </c:pt>
                <c:pt idx="128">
                  <c:v>16.920884197368665</c:v>
                </c:pt>
                <c:pt idx="129">
                  <c:v>17.198089773265259</c:v>
                </c:pt>
                <c:pt idx="130">
                  <c:v>17.470455468158168</c:v>
                </c:pt>
                <c:pt idx="131">
                  <c:v>17.737885085497254</c:v>
                </c:pt>
                <c:pt idx="132">
                  <c:v>18.000283175247421</c:v>
                </c:pt>
                <c:pt idx="133">
                  <c:v>18.257555100448652</c:v>
                </c:pt>
                <c:pt idx="134">
                  <c:v>18.509607106014514</c:v>
                </c:pt>
                <c:pt idx="135">
                  <c:v>18.756346389684435</c:v>
                </c:pt>
                <c:pt idx="136">
                  <c:v>18.997681175033033</c:v>
                </c:pt>
                <c:pt idx="137">
                  <c:v>19.233520786427768</c:v>
                </c:pt>
                <c:pt idx="138">
                  <c:v>19.463775725814049</c:v>
                </c:pt>
                <c:pt idx="139">
                  <c:v>19.688357751194562</c:v>
                </c:pt>
                <c:pt idx="140">
                  <c:v>19.907179956656957</c:v>
                </c:pt>
                <c:pt idx="141">
                  <c:v>20.120156853792135</c:v>
                </c:pt>
                <c:pt idx="142">
                  <c:v>20.327204454332865</c:v>
                </c:pt>
                <c:pt idx="143">
                  <c:v>20.528240353830686</c:v>
                </c:pt>
                <c:pt idx="144">
                  <c:v>20.723183816177304</c:v>
                </c:pt>
                <c:pt idx="145">
                  <c:v>20.911955858765854</c:v>
                </c:pt>
                <c:pt idx="146">
                  <c:v>21.094479338075949</c:v>
                </c:pt>
                <c:pt idx="147">
                  <c:v>21.270679035457484</c:v>
                </c:pt>
                <c:pt idx="148">
                  <c:v>21.440481742877839</c:v>
                </c:pt>
                <c:pt idx="149">
                  <c:v>21.603816348389319</c:v>
                </c:pt>
                <c:pt idx="150">
                  <c:v>21.760613921065854</c:v>
                </c:pt>
                <c:pt idx="151">
                  <c:v>21.910807795151538</c:v>
                </c:pt>
                <c:pt idx="152">
                  <c:v>22.054333653158213</c:v>
                </c:pt>
                <c:pt idx="153">
                  <c:v>22.191129607645237</c:v>
                </c:pt>
                <c:pt idx="154">
                  <c:v>22.321136281411743</c:v>
                </c:pt>
                <c:pt idx="155">
                  <c:v>22.444296885829996</c:v>
                </c:pt>
                <c:pt idx="156">
                  <c:v>22.56055729704897</c:v>
                </c:pt>
                <c:pt idx="157">
                  <c:v>22.669866129798276</c:v>
                </c:pt>
                <c:pt idx="158">
                  <c:v>22.772174808525875</c:v>
                </c:pt>
                <c:pt idx="159">
                  <c:v>22.867437635607736</c:v>
                </c:pt>
                <c:pt idx="160">
                  <c:v>22.955611856373579</c:v>
                </c:pt>
                <c:pt idx="161">
                  <c:v>23.036657720700905</c:v>
                </c:pt>
                <c:pt idx="162">
                  <c:v>23.110538540939</c:v>
                </c:pt>
                <c:pt idx="163">
                  <c:v>23.177220745935426</c:v>
                </c:pt>
                <c:pt idx="164">
                  <c:v>23.236673930950062</c:v>
                </c:pt>
                <c:pt idx="165">
                  <c:v>23.288870903256001</c:v>
                </c:pt>
                <c:pt idx="166">
                  <c:v>23.333787723241823</c:v>
                </c:pt>
                <c:pt idx="167">
                  <c:v>23.371403740846358</c:v>
                </c:pt>
                <c:pt idx="168">
                  <c:v>23.401701627175257</c:v>
                </c:pt>
                <c:pt idx="169">
                  <c:v>23.424667401167472</c:v>
                </c:pt>
                <c:pt idx="170">
                  <c:v>23.440290451199715</c:v>
                </c:pt>
                <c:pt idx="171">
                  <c:v>23.448563551537937</c:v>
                </c:pt>
                <c:pt idx="172">
                  <c:v>23.449482873566001</c:v>
                </c:pt>
                <c:pt idx="173">
                  <c:v>23.443047991744077</c:v>
                </c:pt>
                <c:pt idx="174">
                  <c:v>23.429261884271188</c:v>
                </c:pt>
                <c:pt idx="175">
                  <c:v>23.408130928449392</c:v>
                </c:pt>
                <c:pt idx="176">
                  <c:v>23.379664890768971</c:v>
                </c:pt>
                <c:pt idx="177">
                  <c:v>23.343876911757082</c:v>
                </c:pt>
                <c:pt idx="178">
                  <c:v>23.300783485653739</c:v>
                </c:pt>
                <c:pt idx="179">
                  <c:v>23.250404435001201</c:v>
                </c:pt>
                <c:pt idx="180">
                  <c:v>23.192762880253323</c:v>
                </c:pt>
                <c:pt idx="181">
                  <c:v>23.127885204531886</c:v>
                </c:pt>
                <c:pt idx="182">
                  <c:v>23.055801013676099</c:v>
                </c:pt>
                <c:pt idx="183">
                  <c:v>22.97654309174963</c:v>
                </c:pt>
                <c:pt idx="184">
                  <c:v>22.890147352186524</c:v>
                </c:pt>
                <c:pt idx="185">
                  <c:v>22.796652784773237</c:v>
                </c:pt>
                <c:pt idx="186">
                  <c:v>22.696101398678202</c:v>
                </c:pt>
                <c:pt idx="187">
                  <c:v>22.588538161753284</c:v>
                </c:pt>
                <c:pt idx="188">
                  <c:v>22.47401093634312</c:v>
                </c:pt>
                <c:pt idx="189">
                  <c:v>22.352570411847733</c:v>
                </c:pt>
                <c:pt idx="190">
                  <c:v>22.224270034292488</c:v>
                </c:pt>
                <c:pt idx="191">
                  <c:v>22.089165933165862</c:v>
                </c:pt>
                <c:pt idx="192">
                  <c:v>21.947316845790652</c:v>
                </c:pt>
                <c:pt idx="193">
                  <c:v>21.798784039497594</c:v>
                </c:pt>
                <c:pt idx="194">
                  <c:v>21.643631231872426</c:v>
                </c:pt>
                <c:pt idx="195">
                  <c:v>21.481924509347632</c:v>
                </c:pt>
                <c:pt idx="196">
                  <c:v>21.313732244409152</c:v>
                </c:pt>
                <c:pt idx="197">
                  <c:v>21.139125011685731</c:v>
                </c:pt>
                <c:pt idx="198">
                  <c:v>20.958175503184943</c:v>
                </c:pt>
                <c:pt idx="199">
                  <c:v>20.770958442934624</c:v>
                </c:pt>
                <c:pt idx="200">
                  <c:v>20.57755050128246</c:v>
                </c:pt>
                <c:pt idx="201">
                  <c:v>20.378030209099016</c:v>
                </c:pt>
                <c:pt idx="202">
                  <c:v>20.172477872121402</c:v>
                </c:pt>
                <c:pt idx="203">
                  <c:v>19.960975485665472</c:v>
                </c:pt>
                <c:pt idx="204">
                  <c:v>19.743606649924885</c:v>
                </c:pt>
                <c:pt idx="205">
                  <c:v>19.520456486064422</c:v>
                </c:pt>
                <c:pt idx="206">
                  <c:v>19.291611553304222</c:v>
                </c:pt>
                <c:pt idx="207">
                  <c:v>19.057159767180082</c:v>
                </c:pt>
                <c:pt idx="208">
                  <c:v>18.817190319152772</c:v>
                </c:pt>
                <c:pt idx="209">
                  <c:v>18.571793597727499</c:v>
                </c:pt>
                <c:pt idx="210">
                  <c:v>18.321061111232268</c:v>
                </c:pt>
                <c:pt idx="211">
                  <c:v>18.065085412391554</c:v>
                </c:pt>
                <c:pt idx="212">
                  <c:v>17.803960024819165</c:v>
                </c:pt>
                <c:pt idx="213">
                  <c:v>17.537779371542268</c:v>
                </c:pt>
                <c:pt idx="214">
                  <c:v>17.266638705655978</c:v>
                </c:pt>
                <c:pt idx="215">
                  <c:v>16.990634043196398</c:v>
                </c:pt>
                <c:pt idx="216">
                  <c:v>16.709862098308065</c:v>
                </c:pt>
                <c:pt idx="217">
                  <c:v>16.424420220770724</c:v>
                </c:pt>
                <c:pt idx="218">
                  <c:v>16.134406335939023</c:v>
                </c:pt>
                <c:pt idx="219">
                  <c:v>15.839918887138678</c:v>
                </c:pt>
                <c:pt idx="220">
                  <c:v>15.541056780552202</c:v>
                </c:pt>
                <c:pt idx="221">
                  <c:v>15.237919332617594</c:v>
                </c:pt>
                <c:pt idx="222">
                  <c:v>14.930606219954754</c:v>
                </c:pt>
                <c:pt idx="223">
                  <c:v>14.619217431824989</c:v>
                </c:pt>
                <c:pt idx="224">
                  <c:v>14.303853225121603</c:v>
                </c:pt>
                <c:pt idx="225">
                  <c:v>13.984614081881311</c:v>
                </c:pt>
                <c:pt idx="226">
                  <c:v>13.661600669299453</c:v>
                </c:pt>
                <c:pt idx="227">
                  <c:v>13.334913802225538</c:v>
                </c:pt>
                <c:pt idx="228">
                  <c:v>13.004654408108895</c:v>
                </c:pt>
                <c:pt idx="229">
                  <c:v>12.670923494359647</c:v>
                </c:pt>
                <c:pt idx="230">
                  <c:v>12.333822118084077</c:v>
                </c:pt>
                <c:pt idx="231">
                  <c:v>11.993451358149549</c:v>
                </c:pt>
                <c:pt idx="232">
                  <c:v>11.649912289529855</c:v>
                </c:pt>
                <c:pt idx="233">
                  <c:v>11.303305959877775</c:v>
                </c:pt>
                <c:pt idx="234">
                  <c:v>10.953733368268725</c:v>
                </c:pt>
                <c:pt idx="235">
                  <c:v>10.601295446056195</c:v>
                </c:pt>
                <c:pt idx="236">
                  <c:v>10.246093039777495</c:v>
                </c:pt>
                <c:pt idx="237">
                  <c:v>9.8882268960453157</c:v>
                </c:pt>
                <c:pt idx="238">
                  <c:v>9.5277976483600852</c:v>
                </c:pt>
                <c:pt idx="239">
                  <c:v>9.1649058057747634</c:v>
                </c:pt>
                <c:pt idx="240">
                  <c:v>8.7996517433444073</c:v>
                </c:pt>
                <c:pt idx="241">
                  <c:v>8.4321356942899914</c:v>
                </c:pt>
                <c:pt idx="242">
                  <c:v>8.0624577438065845</c:v>
                </c:pt>
                <c:pt idx="243">
                  <c:v>7.6907178244444161</c:v>
                </c:pt>
                <c:pt idx="244">
                  <c:v>7.3170157129915934</c:v>
                </c:pt>
                <c:pt idx="245">
                  <c:v>6.9414510287866698</c:v>
                </c:pt>
                <c:pt idx="246">
                  <c:v>6.564123233389509</c:v>
                </c:pt>
                <c:pt idx="247">
                  <c:v>6.1851316315384643</c:v>
                </c:pt>
                <c:pt idx="248">
                  <c:v>5.8045753733225904</c:v>
                </c:pt>
                <c:pt idx="249">
                  <c:v>5.4225534574974379</c:v>
                </c:pt>
                <c:pt idx="250">
                  <c:v>5.0391647358737881</c:v>
                </c:pt>
                <c:pt idx="251">
                  <c:v>4.6545079187084557</c:v>
                </c:pt>
                <c:pt idx="252">
                  <c:v>4.2686815810272254</c:v>
                </c:pt>
                <c:pt idx="253">
                  <c:v>3.881784169810552</c:v>
                </c:pt>
                <c:pt idx="254">
                  <c:v>3.4939140119723788</c:v>
                </c:pt>
                <c:pt idx="255">
                  <c:v>3.1051693230640454</c:v>
                </c:pt>
                <c:pt idx="256">
                  <c:v>2.7156482166348184</c:v>
                </c:pt>
                <c:pt idx="257">
                  <c:v>2.325448714181289</c:v>
                </c:pt>
                <c:pt idx="258">
                  <c:v>1.9346687556189415</c:v>
                </c:pt>
                <c:pt idx="259">
                  <c:v>1.5434062102087636</c:v>
                </c:pt>
                <c:pt idx="260">
                  <c:v>1.1517588878725631</c:v>
                </c:pt>
                <c:pt idx="261">
                  <c:v>0.75982455083102673</c:v>
                </c:pt>
                <c:pt idx="262">
                  <c:v>0.36770092549900402</c:v>
                </c:pt>
                <c:pt idx="263">
                  <c:v>-2.4514285427965798E-2</c:v>
                </c:pt>
                <c:pt idx="264">
                  <c:v>-0.41672339076060438</c:v>
                </c:pt>
                <c:pt idx="265">
                  <c:v>-0.80882869854189254</c:v>
                </c:pt>
                <c:pt idx="266">
                  <c:v>-1.2007325037773402</c:v>
                </c:pt>
                <c:pt idx="267">
                  <c:v>-1.5923370762340485</c:v>
                </c:pt>
                <c:pt idx="268">
                  <c:v>-1.9835446483745747</c:v>
                </c:pt>
                <c:pt idx="269">
                  <c:v>-2.3742574034901658</c:v>
                </c:pt>
                <c:pt idx="270">
                  <c:v>-2.7643774640995682</c:v>
                </c:pt>
                <c:pt idx="271">
                  <c:v>-3.1538068806784105</c:v>
                </c:pt>
                <c:pt idx="272">
                  <c:v>-3.5424476207861288</c:v>
                </c:pt>
                <c:pt idx="273">
                  <c:v>-3.9302015586559733</c:v>
                </c:pt>
                <c:pt idx="274">
                  <c:v>-4.3169704653152783</c:v>
                </c:pt>
                <c:pt idx="275">
                  <c:v>-4.7026559993036026</c:v>
                </c:pt>
                <c:pt idx="276">
                  <c:v>-5.0871596980555713</c:v>
                </c:pt>
                <c:pt idx="277">
                  <c:v>-5.4703829700174076</c:v>
                </c:pt>
                <c:pt idx="278">
                  <c:v>-5.852227087565435</c:v>
                </c:pt>
                <c:pt idx="279">
                  <c:v>-6.2325931807957629</c:v>
                </c:pt>
                <c:pt idx="280">
                  <c:v>-6.6113822322547238</c:v>
                </c:pt>
                <c:pt idx="281">
                  <c:v>-6.9884950726807222</c:v>
                </c:pt>
                <c:pt idx="282">
                  <c:v>-7.3638323778273227</c:v>
                </c:pt>
                <c:pt idx="283">
                  <c:v>-7.7372946664389044</c:v>
                </c:pt>
                <c:pt idx="284">
                  <c:v>-8.108782299450592</c:v>
                </c:pt>
                <c:pt idx="285">
                  <c:v>-8.4781954804830875</c:v>
                </c:pt>
                <c:pt idx="286">
                  <c:v>-8.8454342577049623</c:v>
                </c:pt>
                <c:pt idx="287">
                  <c:v>-9.2103985271337834</c:v>
                </c:pt>
                <c:pt idx="288">
                  <c:v>-9.5729880374476242</c:v>
                </c:pt>
                <c:pt idx="289">
                  <c:v>-9.9331023963786613</c:v>
                </c:pt>
                <c:pt idx="290">
                  <c:v>-10.29064107875978</c:v>
                </c:pt>
                <c:pt idx="291">
                  <c:v>-10.645503436294337</c:v>
                </c:pt>
                <c:pt idx="292">
                  <c:v>-10.997588709119055</c:v>
                </c:pt>
                <c:pt idx="293">
                  <c:v>-11.346796039228289</c:v>
                </c:pt>
                <c:pt idx="294">
                  <c:v>-11.693024485827015</c:v>
                </c:pt>
                <c:pt idx="295">
                  <c:v>-12.036173042677945</c:v>
                </c:pt>
                <c:pt idx="296">
                  <c:v>-12.376140657506786</c:v>
                </c:pt>
                <c:pt idx="297">
                  <c:v>-12.712826253526723</c:v>
                </c:pt>
                <c:pt idx="298">
                  <c:v>-13.046128753141179</c:v>
                </c:pt>
                <c:pt idx="299">
                  <c:v>-13.375947103880939</c:v>
                </c:pt>
                <c:pt idx="300">
                  <c:v>-13.702180306627628</c:v>
                </c:pt>
                <c:pt idx="301">
                  <c:v>-14.024727446172735</c:v>
                </c:pt>
                <c:pt idx="302">
                  <c:v>-14.343487724156574</c:v>
                </c:pt>
                <c:pt idx="303">
                  <c:v>-14.658360494427001</c:v>
                </c:pt>
                <c:pt idx="304">
                  <c:v>-14.969245300852403</c:v>
                </c:pt>
                <c:pt idx="305">
                  <c:v>-15.276041917618368</c:v>
                </c:pt>
                <c:pt idx="306">
                  <c:v>-15.578650392030438</c:v>
                </c:pt>
                <c:pt idx="307">
                  <c:v>-15.876971089839607</c:v>
                </c:pt>
                <c:pt idx="308">
                  <c:v>-16.170904743099495</c:v>
                </c:pt>
                <c:pt idx="309">
                  <c:v>-16.460352500556379</c:v>
                </c:pt>
                <c:pt idx="310">
                  <c:v>-16.745215980565508</c:v>
                </c:pt>
                <c:pt idx="311">
                  <c:v>-17.025397326518139</c:v>
                </c:pt>
                <c:pt idx="312">
                  <c:v>-17.300799264754477</c:v>
                </c:pt>
                <c:pt idx="313">
                  <c:v>-17.571325164928069</c:v>
                </c:pt>
                <c:pt idx="314">
                  <c:v>-17.836879102777168</c:v>
                </c:pt>
                <c:pt idx="315">
                  <c:v>-18.097365925247917</c:v>
                </c:pt>
                <c:pt idx="316">
                  <c:v>-18.35269131790286</c:v>
                </c:pt>
                <c:pt idx="317">
                  <c:v>-18.602761874537862</c:v>
                </c:pt>
                <c:pt idx="318">
                  <c:v>-18.847485168917647</c:v>
                </c:pt>
                <c:pt idx="319">
                  <c:v>-19.086769828529054</c:v>
                </c:pt>
                <c:pt idx="320">
                  <c:v>-19.32052561023902</c:v>
                </c:pt>
                <c:pt idx="321">
                  <c:v>-19.548663477731203</c:v>
                </c:pt>
                <c:pt idx="322">
                  <c:v>-19.771095680583592</c:v>
                </c:pt>
                <c:pt idx="323">
                  <c:v>-19.987735834836993</c:v>
                </c:pt>
                <c:pt idx="324">
                  <c:v>-20.198499004891428</c:v>
                </c:pt>
                <c:pt idx="325">
                  <c:v>-20.403301786556099</c:v>
                </c:pt>
                <c:pt idx="326">
                  <c:v>-20.602062391066308</c:v>
                </c:pt>
                <c:pt idx="327">
                  <c:v>-20.794700729869426</c:v>
                </c:pt>
                <c:pt idx="328">
                  <c:v>-20.981138499970765</c:v>
                </c:pt>
                <c:pt idx="329">
                  <c:v>-21.161299269620287</c:v>
                </c:pt>
                <c:pt idx="330">
                  <c:v>-21.33510856411058</c:v>
                </c:pt>
                <c:pt idx="331">
                  <c:v>-21.502493951448098</c:v>
                </c:pt>
                <c:pt idx="332">
                  <c:v>-21.663385127651399</c:v>
                </c:pt>
                <c:pt idx="333">
                  <c:v>-21.817714001422736</c:v>
                </c:pt>
                <c:pt idx="334">
                  <c:v>-21.965414777933507</c:v>
                </c:pt>
                <c:pt idx="335">
                  <c:v>-22.106424041459199</c:v>
                </c:pt>
                <c:pt idx="336">
                  <c:v>-22.240680836595459</c:v>
                </c:pt>
                <c:pt idx="337">
                  <c:v>-22.36812674778513</c:v>
                </c:pt>
                <c:pt idx="338">
                  <c:v>-22.488705976884692</c:v>
                </c:pt>
                <c:pt idx="339">
                  <c:v>-22.602365418499357</c:v>
                </c:pt>
                <c:pt idx="340">
                  <c:v>-22.709054732818299</c:v>
                </c:pt>
                <c:pt idx="341">
                  <c:v>-22.808726415684671</c:v>
                </c:pt>
                <c:pt idx="342">
                  <c:v>-22.901335865640885</c:v>
                </c:pt>
                <c:pt idx="343">
                  <c:v>-22.986841447696033</c:v>
                </c:pt>
                <c:pt idx="344">
                  <c:v>-23.065204553571107</c:v>
                </c:pt>
                <c:pt idx="345">
                  <c:v>-23.136389658187341</c:v>
                </c:pt>
                <c:pt idx="346">
                  <c:v>-23.20036437217502</c:v>
                </c:pt>
                <c:pt idx="347">
                  <c:v>-23.257099490192903</c:v>
                </c:pt>
                <c:pt idx="348">
                  <c:v>-23.3065690348629</c:v>
                </c:pt>
                <c:pt idx="349">
                  <c:v>-23.348750296140924</c:v>
                </c:pt>
                <c:pt idx="350">
                  <c:v>-23.3836238659615</c:v>
                </c:pt>
                <c:pt idx="351">
                  <c:v>-23.411173668012438</c:v>
                </c:pt>
                <c:pt idx="352">
                  <c:v>-23.431386982515093</c:v>
                </c:pt>
                <c:pt idx="353">
                  <c:v>-23.444254465905949</c:v>
                </c:pt>
                <c:pt idx="354">
                  <c:v>-23.449770165336595</c:v>
                </c:pt>
                <c:pt idx="355">
                  <c:v>-23.447931527930365</c:v>
                </c:pt>
                <c:pt idx="356">
                  <c:v>-23.438739404756603</c:v>
                </c:pt>
                <c:pt idx="357">
                  <c:v>-23.422198049505461</c:v>
                </c:pt>
                <c:pt idx="358">
                  <c:v>-23.398315111868861</c:v>
                </c:pt>
                <c:pt idx="359">
                  <c:v>-23.367101625655927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2-475B-96DB-B182C800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232224"/>
        <c:axId val="2107238944"/>
      </c:scatterChart>
      <c:valAx>
        <c:axId val="21072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38944"/>
        <c:crosses val="autoZero"/>
        <c:crossBetween val="midCat"/>
      </c:valAx>
      <c:valAx>
        <c:axId val="21072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3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Hora do pôr do Sol contado a partir da hora zero ao meio-dia</a:t>
            </a:r>
          </a:p>
        </c:rich>
      </c:tx>
      <c:layout>
        <c:manualLayout>
          <c:xMode val="edge"/>
          <c:yMode val="edge"/>
          <c:x val="0.107881889763779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Planilha1!$V$6:$V$370</c:f>
              <c:numCache>
                <c:formatCode>General</c:formatCode>
                <c:ptCount val="365"/>
                <c:pt idx="0">
                  <c:v>6.2686904391853071</c:v>
                </c:pt>
                <c:pt idx="1">
                  <c:v>6.2675979619308455</c:v>
                </c:pt>
                <c:pt idx="2">
                  <c:v>6.2664142099387714</c:v>
                </c:pt>
                <c:pt idx="3">
                  <c:v>6.2651400835609214</c:v>
                </c:pt>
                <c:pt idx="4">
                  <c:v>6.2637765433915824</c:v>
                </c:pt>
                <c:pt idx="5">
                  <c:v>6.2623246077567334</c:v>
                </c:pt>
                <c:pt idx="6">
                  <c:v>6.2607853500899404</c:v>
                </c:pt>
                <c:pt idx="7">
                  <c:v>6.2591598962082085</c:v>
                </c:pt>
                <c:pt idx="8">
                  <c:v>6.2574494215013292</c:v>
                </c:pt>
                <c:pt idx="9">
                  <c:v>6.2556551480483824</c:v>
                </c:pt>
                <c:pt idx="10">
                  <c:v>6.2537783416750603</c:v>
                </c:pt>
                <c:pt idx="11">
                  <c:v>6.2518203089653914</c:v>
                </c:pt>
                <c:pt idx="12">
                  <c:v>6.2497823942412989</c:v>
                </c:pt>
                <c:pt idx="13">
                  <c:v>6.2476659765231384</c:v>
                </c:pt>
                <c:pt idx="14">
                  <c:v>6.2454724664840091</c:v>
                </c:pt>
                <c:pt idx="15">
                  <c:v>6.2432033034102403</c:v>
                </c:pt>
                <c:pt idx="16">
                  <c:v>6.2408599521799575</c:v>
                </c:pt>
                <c:pt idx="17">
                  <c:v>6.2384439002710455</c:v>
                </c:pt>
                <c:pt idx="18">
                  <c:v>6.2359566548092955</c:v>
                </c:pt>
                <c:pt idx="19">
                  <c:v>6.2333997396668233</c:v>
                </c:pt>
                <c:pt idx="20">
                  <c:v>6.2307746926201633</c:v>
                </c:pt>
                <c:pt idx="21">
                  <c:v>6.2280830625767782</c:v>
                </c:pt>
                <c:pt idx="22">
                  <c:v>6.2253264068779401</c:v>
                </c:pt>
                <c:pt idx="23">
                  <c:v>6.2225062886852252</c:v>
                </c:pt>
                <c:pt idx="24">
                  <c:v>6.2196242744570975</c:v>
                </c:pt>
                <c:pt idx="25">
                  <c:v>6.2166819315213155</c:v>
                </c:pt>
                <c:pt idx="26">
                  <c:v>6.2136808257481553</c:v>
                </c:pt>
                <c:pt idx="27">
                  <c:v>6.2106225193286759</c:v>
                </c:pt>
                <c:pt idx="28">
                  <c:v>6.2075085686615976</c:v>
                </c:pt>
                <c:pt idx="29">
                  <c:v>6.204340522351619</c:v>
                </c:pt>
                <c:pt idx="30">
                  <c:v>6.2011199193213447</c:v>
                </c:pt>
                <c:pt idx="31">
                  <c:v>6.1978482870383989</c:v>
                </c:pt>
                <c:pt idx="32">
                  <c:v>6.1945271398586197</c:v>
                </c:pt>
                <c:pt idx="33">
                  <c:v>6.191157977485731</c:v>
                </c:pt>
                <c:pt idx="34">
                  <c:v>6.1877422835473244</c:v>
                </c:pt>
                <c:pt idx="35">
                  <c:v>6.1842815242864777</c:v>
                </c:pt>
                <c:pt idx="36">
                  <c:v>6.1807771473679285</c:v>
                </c:pt>
                <c:pt idx="37">
                  <c:v>6.1772305807972341</c:v>
                </c:pt>
                <c:pt idx="38">
                  <c:v>6.1736432319510559</c:v>
                </c:pt>
                <c:pt idx="39">
                  <c:v>6.1700164867162943</c:v>
                </c:pt>
                <c:pt idx="40">
                  <c:v>6.166351708735557</c:v>
                </c:pt>
                <c:pt idx="41">
                  <c:v>6.1626502387561599</c:v>
                </c:pt>
                <c:pt idx="42">
                  <c:v>6.1589133940796241</c:v>
                </c:pt>
                <c:pt idx="43">
                  <c:v>6.1551424681084699</c:v>
                </c:pt>
                <c:pt idx="44">
                  <c:v>6.15133872998695</c:v>
                </c:pt>
                <c:pt idx="45">
                  <c:v>6.1475034243322</c:v>
                </c:pt>
                <c:pt idx="46">
                  <c:v>6.1436377710522567</c:v>
                </c:pt>
                <c:pt idx="47">
                  <c:v>6.1397429652472599</c:v>
                </c:pt>
                <c:pt idx="48">
                  <c:v>6.1358201771901708</c:v>
                </c:pt>
                <c:pt idx="49">
                  <c:v>6.1318705523832708</c:v>
                </c:pt>
                <c:pt idx="50">
                  <c:v>6.1278952116867629</c:v>
                </c:pt>
                <c:pt idx="51">
                  <c:v>6.1238952515157585</c:v>
                </c:pt>
                <c:pt idx="52">
                  <c:v>6.119871744102042</c:v>
                </c:pt>
                <c:pt idx="53">
                  <c:v>6.1158257378170129</c:v>
                </c:pt>
                <c:pt idx="54">
                  <c:v>6.1117582575522835</c:v>
                </c:pt>
                <c:pt idx="55">
                  <c:v>6.1076703051545325</c:v>
                </c:pt>
                <c:pt idx="56">
                  <c:v>6.1035628599112401</c:v>
                </c:pt>
                <c:pt idx="57">
                  <c:v>6.0994368790841031</c:v>
                </c:pt>
                <c:pt idx="58">
                  <c:v>6.095293298486979</c:v>
                </c:pt>
                <c:pt idx="59">
                  <c:v>6.091133033105371</c:v>
                </c:pt>
                <c:pt idx="60">
                  <c:v>6.0869569777545376</c:v>
                </c:pt>
                <c:pt idx="61">
                  <c:v>6.0827660077734578</c:v>
                </c:pt>
                <c:pt idx="62">
                  <c:v>6.0785609797520284</c:v>
                </c:pt>
                <c:pt idx="63">
                  <c:v>6.0743427322889341</c:v>
                </c:pt>
                <c:pt idx="64">
                  <c:v>6.070112086777792</c:v>
                </c:pt>
                <c:pt idx="65">
                  <c:v>6.0658698482193172</c:v>
                </c:pt>
                <c:pt idx="66">
                  <c:v>6.0616168060572999</c:v>
                </c:pt>
                <c:pt idx="67">
                  <c:v>6.0573537350363846</c:v>
                </c:pt>
                <c:pt idx="68">
                  <c:v>6.0530813960797039</c:v>
                </c:pt>
                <c:pt idx="69">
                  <c:v>6.0488005371845226</c:v>
                </c:pt>
                <c:pt idx="70">
                  <c:v>6.0445118943341942</c:v>
                </c:pt>
                <c:pt idx="71">
                  <c:v>6.0402161924247872</c:v>
                </c:pt>
                <c:pt idx="72">
                  <c:v>6.0359141462048367</c:v>
                </c:pt>
                <c:pt idx="73">
                  <c:v>6.0316064612268034</c:v>
                </c:pt>
                <c:pt idx="74">
                  <c:v>6.0272938348088205</c:v>
                </c:pt>
                <c:pt idx="75">
                  <c:v>6.0229769570054739</c:v>
                </c:pt>
                <c:pt idx="76">
                  <c:v>6.0186565115863537</c:v>
                </c:pt>
                <c:pt idx="77">
                  <c:v>6.0143331770212036</c:v>
                </c:pt>
                <c:pt idx="78">
                  <c:v>6.0100076274705545</c:v>
                </c:pt>
                <c:pt idx="79">
                  <c:v>6.0056805337807253</c:v>
                </c:pt>
                <c:pt idx="80">
                  <c:v>6.0013525644821879</c:v>
                </c:pt>
                <c:pt idx="81">
                  <c:v>5.9970243867902191</c:v>
                </c:pt>
                <c:pt idx="82">
                  <c:v>5.9926966676068725</c:v>
                </c:pt>
                <c:pt idx="83">
                  <c:v>5.9883700745232495</c:v>
                </c:pt>
                <c:pt idx="84">
                  <c:v>5.9840452768211039</c:v>
                </c:pt>
                <c:pt idx="85">
                  <c:v>5.9797229464727462</c:v>
                </c:pt>
                <c:pt idx="86">
                  <c:v>5.9754037591382723</c:v>
                </c:pt>
                <c:pt idx="87">
                  <c:v>5.9710883951590477</c:v>
                </c:pt>
                <c:pt idx="88">
                  <c:v>5.9667775405464187</c:v>
                </c:pt>
                <c:pt idx="89">
                  <c:v>5.9624718879645213</c:v>
                </c:pt>
                <c:pt idx="90">
                  <c:v>5.9581721377060495</c:v>
                </c:pt>
                <c:pt idx="91">
                  <c:v>5.9538789986598157</c:v>
                </c:pt>
                <c:pt idx="92">
                  <c:v>5.9495931892687777</c:v>
                </c:pt>
                <c:pt idx="93">
                  <c:v>5.9453154384772802</c:v>
                </c:pt>
                <c:pt idx="94">
                  <c:v>5.9410464866660586</c:v>
                </c:pt>
                <c:pt idx="95">
                  <c:v>5.9367870865735481</c:v>
                </c:pt>
                <c:pt idx="96">
                  <c:v>5.9325380042019189</c:v>
                </c:pt>
                <c:pt idx="97">
                  <c:v>5.9283000197061728</c:v>
                </c:pt>
                <c:pt idx="98">
                  <c:v>5.9240739282645523</c:v>
                </c:pt>
                <c:pt idx="99">
                  <c:v>5.9198605409283811</c:v>
                </c:pt>
                <c:pt idx="100">
                  <c:v>5.915660685449347</c:v>
                </c:pt>
                <c:pt idx="101">
                  <c:v>5.9114752070821774</c:v>
                </c:pt>
                <c:pt idx="102">
                  <c:v>5.9073049693604638</c:v>
                </c:pt>
                <c:pt idx="103">
                  <c:v>5.903150854843294</c:v>
                </c:pt>
                <c:pt idx="104">
                  <c:v>5.8990137658303148</c:v>
                </c:pt>
                <c:pt idx="105">
                  <c:v>5.8948946250425491</c:v>
                </c:pt>
                <c:pt idx="106">
                  <c:v>5.8907943762663662</c:v>
                </c:pt>
                <c:pt idx="107">
                  <c:v>5.8867139849577317</c:v>
                </c:pt>
                <c:pt idx="108">
                  <c:v>5.8826544388038027</c:v>
                </c:pt>
                <c:pt idx="109">
                  <c:v>5.8786167482388514</c:v>
                </c:pt>
                <c:pt idx="110">
                  <c:v>5.8746019469112873</c:v>
                </c:pt>
                <c:pt idx="111">
                  <c:v>5.8706110920985743</c:v>
                </c:pt>
                <c:pt idx="112">
                  <c:v>5.8666452650666132</c:v>
                </c:pt>
                <c:pt idx="113">
                  <c:v>5.8627055713701441</c:v>
                </c:pt>
                <c:pt idx="114">
                  <c:v>5.8587931410906595</c:v>
                </c:pt>
                <c:pt idx="115">
                  <c:v>5.8549091290081678</c:v>
                </c:pt>
                <c:pt idx="116">
                  <c:v>5.8510547147031922</c:v>
                </c:pt>
                <c:pt idx="117">
                  <c:v>5.8472311025852806</c:v>
                </c:pt>
                <c:pt idx="118">
                  <c:v>5.8434395218443473</c:v>
                </c:pt>
                <c:pt idx="119">
                  <c:v>5.83968122632111</c:v>
                </c:pt>
                <c:pt idx="120">
                  <c:v>5.8359574942929582</c:v>
                </c:pt>
                <c:pt idx="121">
                  <c:v>5.83226962817161</c:v>
                </c:pt>
                <c:pt idx="122">
                  <c:v>5.8286189541090199</c:v>
                </c:pt>
                <c:pt idx="123">
                  <c:v>5.8250068215080821</c:v>
                </c:pt>
                <c:pt idx="124">
                  <c:v>5.8214346024348016</c:v>
                </c:pt>
                <c:pt idx="125">
                  <c:v>5.8179036909288095</c:v>
                </c:pt>
                <c:pt idx="126">
                  <c:v>5.8144155022092825</c:v>
                </c:pt>
                <c:pt idx="127">
                  <c:v>5.8109714717735317</c:v>
                </c:pt>
                <c:pt idx="128">
                  <c:v>5.8075730543858652</c:v>
                </c:pt>
                <c:pt idx="129">
                  <c:v>5.8042217229545763</c:v>
                </c:pt>
                <c:pt idx="130">
                  <c:v>5.800918967295325</c:v>
                </c:pt>
                <c:pt idx="131">
                  <c:v>5.7976662927794935</c:v>
                </c:pt>
                <c:pt idx="132">
                  <c:v>5.794465218866601</c:v>
                </c:pt>
                <c:pt idx="133">
                  <c:v>5.7913172775202986</c:v>
                </c:pt>
                <c:pt idx="134">
                  <c:v>5.7882240115079497</c:v>
                </c:pt>
                <c:pt idx="135">
                  <c:v>5.7851869725844098</c:v>
                </c:pt>
                <c:pt idx="136">
                  <c:v>5.782207719561141</c:v>
                </c:pt>
                <c:pt idx="137">
                  <c:v>5.7792878162624381</c:v>
                </c:pt>
                <c:pt idx="138">
                  <c:v>5.7764288293712225</c:v>
                </c:pt>
                <c:pt idx="139">
                  <c:v>5.7736323261674496</c:v>
                </c:pt>
                <c:pt idx="140">
                  <c:v>5.7708998721630032</c:v>
                </c:pt>
                <c:pt idx="141">
                  <c:v>5.768233028637523</c:v>
                </c:pt>
                <c:pt idx="142">
                  <c:v>5.7656333500805141</c:v>
                </c:pt>
                <c:pt idx="143">
                  <c:v>5.7631023815456803</c:v>
                </c:pt>
                <c:pt idx="144">
                  <c:v>5.7606416559242719</c:v>
                </c:pt>
                <c:pt idx="145">
                  <c:v>5.7582526911449712</c:v>
                </c:pt>
                <c:pt idx="146">
                  <c:v>5.7559369873085462</c:v>
                </c:pt>
                <c:pt idx="147">
                  <c:v>5.7536960237662811</c:v>
                </c:pt>
                <c:pt idx="148">
                  <c:v>5.7515312561518233</c:v>
                </c:pt>
                <c:pt idx="149">
                  <c:v>5.7494441133768417</c:v>
                </c:pt>
                <c:pt idx="150">
                  <c:v>5.7474359946014468</c:v>
                </c:pt>
                <c:pt idx="151">
                  <c:v>5.745508266190936</c:v>
                </c:pt>
                <c:pt idx="152">
                  <c:v>5.7436622586709758</c:v>
                </c:pt>
                <c:pt idx="153">
                  <c:v>5.7418992636937345</c:v>
                </c:pt>
                <c:pt idx="154">
                  <c:v>5.7402205310279593</c:v>
                </c:pt>
                <c:pt idx="155">
                  <c:v>5.7386272655862145</c:v>
                </c:pt>
                <c:pt idx="156">
                  <c:v>5.7371206245027908</c:v>
                </c:pt>
                <c:pt idx="157">
                  <c:v>5.735701714275927</c:v>
                </c:pt>
                <c:pt idx="158">
                  <c:v>5.7343715879879991</c:v>
                </c:pt>
                <c:pt idx="159">
                  <c:v>5.7331312426173175</c:v>
                </c:pt>
                <c:pt idx="160">
                  <c:v>5.7319816164549717</c:v>
                </c:pt>
                <c:pt idx="161">
                  <c:v>5.730923586639955</c:v>
                </c:pt>
                <c:pt idx="162">
                  <c:v>5.7299579668253751</c:v>
                </c:pt>
                <c:pt idx="163">
                  <c:v>5.7290855049881246</c:v>
                </c:pt>
                <c:pt idx="164">
                  <c:v>5.7283068813937748</c:v>
                </c:pt>
                <c:pt idx="165">
                  <c:v>5.7276227067278063</c:v>
                </c:pt>
                <c:pt idx="166">
                  <c:v>5.727033520403487</c:v>
                </c:pt>
                <c:pt idx="167">
                  <c:v>5.7265397890558436</c:v>
                </c:pt>
                <c:pt idx="168">
                  <c:v>5.7261419052302305</c:v>
                </c:pt>
                <c:pt idx="169">
                  <c:v>5.7258401862729462</c:v>
                </c:pt>
                <c:pt idx="170">
                  <c:v>5.7256348734302502</c:v>
                </c:pt>
                <c:pt idx="171">
                  <c:v>5.7255261311609775</c:v>
                </c:pt>
                <c:pt idx="172">
                  <c:v>5.7255140466667269</c:v>
                </c:pt>
                <c:pt idx="173">
                  <c:v>5.7255986296423478</c:v>
                </c:pt>
                <c:pt idx="174">
                  <c:v>5.7257798122481853</c:v>
                </c:pt>
                <c:pt idx="175">
                  <c:v>5.7260574493042364</c:v>
                </c:pt>
                <c:pt idx="176">
                  <c:v>5.7264313187050959</c:v>
                </c:pt>
                <c:pt idx="177">
                  <c:v>5.726901122053274</c:v>
                </c:pt>
                <c:pt idx="178">
                  <c:v>5.7274664855072128</c:v>
                </c:pt>
                <c:pt idx="179">
                  <c:v>5.7281269608391332</c:v>
                </c:pt>
                <c:pt idx="180">
                  <c:v>5.7288820266965983</c:v>
                </c:pt>
                <c:pt idx="181">
                  <c:v>5.7297310900606631</c:v>
                </c:pt>
                <c:pt idx="182">
                  <c:v>5.7306734878923073</c:v>
                </c:pt>
                <c:pt idx="183">
                  <c:v>5.7317084889579961</c:v>
                </c:pt>
                <c:pt idx="184">
                  <c:v>5.7328352958241977</c:v>
                </c:pt>
                <c:pt idx="185">
                  <c:v>5.7340530470099917</c:v>
                </c:pt>
                <c:pt idx="186">
                  <c:v>5.7353608192861376</c:v>
                </c:pt>
                <c:pt idx="187">
                  <c:v>5.7367576301083538</c:v>
                </c:pt>
                <c:pt idx="188">
                  <c:v>5.7382424401721401</c:v>
                </c:pt>
                <c:pt idx="189">
                  <c:v>5.7398141560759628</c:v>
                </c:pt>
                <c:pt idx="190">
                  <c:v>5.7414716330794366</c:v>
                </c:pt>
                <c:pt idx="191">
                  <c:v>5.7432136779428955</c:v>
                </c:pt>
                <c:pt idx="192">
                  <c:v>5.7450390518346985</c:v>
                </c:pt>
                <c:pt idx="193">
                  <c:v>5.7469464732925672</c:v>
                </c:pt>
                <c:pt idx="194">
                  <c:v>5.7489346212254979</c:v>
                </c:pt>
                <c:pt idx="195">
                  <c:v>5.7510021379428604</c:v>
                </c:pt>
                <c:pt idx="196">
                  <c:v>5.7531476321976687</c:v>
                </c:pt>
                <c:pt idx="197">
                  <c:v>5.7553696822313887</c:v>
                </c:pt>
                <c:pt idx="198">
                  <c:v>5.7576668388080252</c:v>
                </c:pt>
                <c:pt idx="199">
                  <c:v>5.7600376282258505</c:v>
                </c:pt>
                <c:pt idx="200">
                  <c:v>5.7624805552955776</c:v>
                </c:pt>
                <c:pt idx="201">
                  <c:v>5.7649941062745196</c:v>
                </c:pt>
                <c:pt idx="202">
                  <c:v>5.7675767517468639</c:v>
                </c:pt>
                <c:pt idx="203">
                  <c:v>5.7702269494408931</c:v>
                </c:pt>
                <c:pt idx="204">
                  <c:v>5.7729431469747379</c:v>
                </c:pt>
                <c:pt idx="205">
                  <c:v>5.7757237845229481</c:v>
                </c:pt>
                <c:pt idx="206">
                  <c:v>5.7785672973969318</c:v>
                </c:pt>
                <c:pt idx="207">
                  <c:v>5.7814721185330695</c:v>
                </c:pt>
                <c:pt idx="208">
                  <c:v>5.7844366808830419</c:v>
                </c:pt>
                <c:pt idx="209">
                  <c:v>5.7874594197016886</c:v>
                </c:pt>
                <c:pt idx="210">
                  <c:v>5.7905387747283754</c:v>
                </c:pt>
                <c:pt idx="211">
                  <c:v>5.7936731922586313</c:v>
                </c:pt>
                <c:pt idx="212">
                  <c:v>5.7968611271034405</c:v>
                </c:pt>
                <c:pt idx="213">
                  <c:v>5.8001010444342764</c:v>
                </c:pt>
                <c:pt idx="214">
                  <c:v>5.8033914215125337</c:v>
                </c:pt>
                <c:pt idx="215">
                  <c:v>5.8067307493026652</c:v>
                </c:pt>
                <c:pt idx="216">
                  <c:v>5.8101175339688487</c:v>
                </c:pt>
                <c:pt idx="217">
                  <c:v>5.8135502982555414</c:v>
                </c:pt>
                <c:pt idx="218">
                  <c:v>5.8170275827527469</c:v>
                </c:pt>
                <c:pt idx="219">
                  <c:v>5.8205479470472756</c:v>
                </c:pt>
                <c:pt idx="220">
                  <c:v>5.8241099707616639</c:v>
                </c:pt>
                <c:pt idx="221">
                  <c:v>5.8277122544827984</c:v>
                </c:pt>
                <c:pt idx="222">
                  <c:v>5.8313534205825892</c:v>
                </c:pt>
                <c:pt idx="223">
                  <c:v>5.8350321139333428</c:v>
                </c:pt>
                <c:pt idx="224">
                  <c:v>5.8387470025207016</c:v>
                </c:pt>
                <c:pt idx="225">
                  <c:v>5.8424967779572796</c:v>
                </c:pt>
                <c:pt idx="226">
                  <c:v>5.8462801559002378</c:v>
                </c:pt>
                <c:pt idx="227">
                  <c:v>5.8500958763762316</c:v>
                </c:pt>
                <c:pt idx="228">
                  <c:v>5.8539427040172622</c:v>
                </c:pt>
                <c:pt idx="229">
                  <c:v>5.8578194282110267</c:v>
                </c:pt>
                <c:pt idx="230">
                  <c:v>5.8617248631694672</c:v>
                </c:pt>
                <c:pt idx="231">
                  <c:v>5.865657847919203</c:v>
                </c:pt>
                <c:pt idx="232">
                  <c:v>5.8696172462175555</c:v>
                </c:pt>
                <c:pt idx="233">
                  <c:v>5.8736019463978746</c:v>
                </c:pt>
                <c:pt idx="234">
                  <c:v>5.8776108611478346</c:v>
                </c:pt>
                <c:pt idx="235">
                  <c:v>5.8816429272243136</c:v>
                </c:pt>
                <c:pt idx="236">
                  <c:v>5.8856971051084201</c:v>
                </c:pt>
                <c:pt idx="237">
                  <c:v>5.8897723786041576</c:v>
                </c:pt>
                <c:pt idx="238">
                  <c:v>5.8938677543840976</c:v>
                </c:pt>
                <c:pt idx="239">
                  <c:v>5.8979822614853985</c:v>
                </c:pt>
                <c:pt idx="240">
                  <c:v>5.9021149507593273</c:v>
                </c:pt>
                <c:pt idx="241">
                  <c:v>5.9062648942773883</c:v>
                </c:pt>
                <c:pt idx="242">
                  <c:v>5.9104311846970301</c:v>
                </c:pt>
                <c:pt idx="243">
                  <c:v>5.9146129345897673</c:v>
                </c:pt>
                <c:pt idx="244">
                  <c:v>5.918809275734441</c:v>
                </c:pt>
                <c:pt idx="245">
                  <c:v>5.9230193583782436</c:v>
                </c:pt>
                <c:pt idx="246">
                  <c:v>5.9272423504679654</c:v>
                </c:pt>
                <c:pt idx="247">
                  <c:v>5.9314774368538252</c:v>
                </c:pt>
                <c:pt idx="248">
                  <c:v>5.9357238184681362</c:v>
                </c:pt>
                <c:pt idx="249">
                  <c:v>5.939980711480918</c:v>
                </c:pt>
                <c:pt idx="250">
                  <c:v>5.9442473464344454</c:v>
                </c:pt>
                <c:pt idx="251">
                  <c:v>5.9485229673586559</c:v>
                </c:pt>
                <c:pt idx="252">
                  <c:v>5.9528068308691964</c:v>
                </c:pt>
                <c:pt idx="253">
                  <c:v>5.9570982052497694</c:v>
                </c:pt>
                <c:pt idx="254">
                  <c:v>5.9613963695204228</c:v>
                </c:pt>
                <c:pt idx="255">
                  <c:v>5.9657006124932233</c:v>
                </c:pt>
                <c:pt idx="256">
                  <c:v>5.9700102318168051</c:v>
                </c:pt>
                <c:pt idx="257">
                  <c:v>5.9743245330110737</c:v>
                </c:pt>
                <c:pt idx="258">
                  <c:v>5.9786428284933653</c:v>
                </c:pt>
                <c:pt idx="259">
                  <c:v>5.9829644365973031</c:v>
                </c:pt>
                <c:pt idx="260">
                  <c:v>5.9872886805854426</c:v>
                </c:pt>
                <c:pt idx="261">
                  <c:v>5.9916148876568895</c:v>
                </c:pt>
                <c:pt idx="262">
                  <c:v>5.9959423879509046</c:v>
                </c:pt>
                <c:pt idx="263">
                  <c:v>6.0002705135475747</c:v>
                </c:pt>
                <c:pt idx="264">
                  <c:v>6.0045985974665363</c:v>
                </c:pt>
                <c:pt idx="265">
                  <c:v>6.0089259726647839</c:v>
                </c:pt>
                <c:pt idx="266">
                  <c:v>6.013251971034526</c:v>
                </c:pt>
                <c:pt idx="267">
                  <c:v>6.0175759224021057</c:v>
                </c:pt>
                <c:pt idx="268">
                  <c:v>6.0218971535289771</c:v>
                </c:pt>
                <c:pt idx="269">
                  <c:v>6.0262149871157566</c:v>
                </c:pt>
                <c:pt idx="270">
                  <c:v>6.0305287408104125</c:v>
                </c:pt>
                <c:pt idx="271">
                  <c:v>6.034837726221622</c:v>
                </c:pt>
                <c:pt idx="272">
                  <c:v>6.0391412479384714</c:v>
                </c:pt>
                <c:pt idx="273">
                  <c:v>6.0434386025576243</c:v>
                </c:pt>
                <c:pt idx="274">
                  <c:v>6.0477290777191852</c:v>
                </c:pt>
                <c:pt idx="275">
                  <c:v>6.0520119511525534</c:v>
                </c:pt>
                <c:pt idx="276">
                  <c:v>6.0562864897336066</c:v>
                </c:pt>
                <c:pt idx="277">
                  <c:v>6.0605519485546511</c:v>
                </c:pt>
                <c:pt idx="278">
                  <c:v>6.064807570008659</c:v>
                </c:pt>
                <c:pt idx="279">
                  <c:v>6.0690525828893707</c:v>
                </c:pt>
                <c:pt idx="280">
                  <c:v>6.0732862015090081</c:v>
                </c:pt>
                <c:pt idx="281">
                  <c:v>6.0775076248353486</c:v>
                </c:pt>
                <c:pt idx="282">
                  <c:v>6.0817160356501043</c:v>
                </c:pt>
                <c:pt idx="283">
                  <c:v>6.0859105997306147</c:v>
                </c:pt>
                <c:pt idx="284">
                  <c:v>6.0900904650569831</c:v>
                </c:pt>
                <c:pt idx="285">
                  <c:v>6.0942547610469102</c:v>
                </c:pt>
                <c:pt idx="286">
                  <c:v>6.0984025978206127</c:v>
                </c:pt>
                <c:pt idx="287">
                  <c:v>6.1025330654982941</c:v>
                </c:pt>
                <c:pt idx="288">
                  <c:v>6.1066452335328192</c:v>
                </c:pt>
                <c:pt idx="289">
                  <c:v>6.110738150080306</c:v>
                </c:pt>
                <c:pt idx="290">
                  <c:v>6.1148108414115168</c:v>
                </c:pt>
                <c:pt idx="291">
                  <c:v>6.1188623113670353</c:v>
                </c:pt>
                <c:pt idx="292">
                  <c:v>6.1228915408592846</c:v>
                </c:pt>
                <c:pt idx="293">
                  <c:v>6.1268974874246753</c:v>
                </c:pt>
                <c:pt idx="294">
                  <c:v>6.1308790848291075</c:v>
                </c:pt>
                <c:pt idx="295">
                  <c:v>6.134835242730289</c:v>
                </c:pt>
                <c:pt idx="296">
                  <c:v>6.1387648464003517</c:v>
                </c:pt>
                <c:pt idx="297">
                  <c:v>6.142666756512325</c:v>
                </c:pt>
                <c:pt idx="298">
                  <c:v>6.146539808994091</c:v>
                </c:pt>
                <c:pt idx="299">
                  <c:v>6.1503828149535229</c:v>
                </c:pt>
                <c:pt idx="300">
                  <c:v>6.1541945606784658</c:v>
                </c:pt>
                <c:pt idx="301">
                  <c:v>6.1579738077153081</c:v>
                </c:pt>
                <c:pt idx="302">
                  <c:v>6.1617192930298295</c:v>
                </c:pt>
                <c:pt idx="303">
                  <c:v>6.1654297292539848</c:v>
                </c:pt>
                <c:pt idx="304">
                  <c:v>6.1691038050222433</c:v>
                </c:pt>
                <c:pt idx="305">
                  <c:v>6.1727401854009871</c:v>
                </c:pt>
                <c:pt idx="306">
                  <c:v>6.1763375124143796</c:v>
                </c:pt>
                <c:pt idx="307">
                  <c:v>6.1798944056699492</c:v>
                </c:pt>
                <c:pt idx="308">
                  <c:v>6.1834094630869654</c:v>
                </c:pt>
                <c:pt idx="309">
                  <c:v>6.1868812617304787</c:v>
                </c:pt>
                <c:pt idx="310">
                  <c:v>6.1903083587535956</c:v>
                </c:pt>
                <c:pt idx="311">
                  <c:v>6.1936892924503422</c:v>
                </c:pt>
                <c:pt idx="312">
                  <c:v>6.1970225834210932</c:v>
                </c:pt>
                <c:pt idx="313">
                  <c:v>6.2003067358521866</c:v>
                </c:pt>
                <c:pt idx="314">
                  <c:v>6.203540238910958</c:v>
                </c:pt>
                <c:pt idx="315">
                  <c:v>6.2067215682569543</c:v>
                </c:pt>
                <c:pt idx="316">
                  <c:v>6.2098491876696267</c:v>
                </c:pt>
                <c:pt idx="317">
                  <c:v>6.2129215507922719</c:v>
                </c:pt>
                <c:pt idx="318">
                  <c:v>6.2159371029914245</c:v>
                </c:pt>
                <c:pt idx="319">
                  <c:v>6.2188942833303154</c:v>
                </c:pt>
                <c:pt idx="320">
                  <c:v>6.2217915266543713</c:v>
                </c:pt>
                <c:pt idx="321">
                  <c:v>6.2246272657861068</c:v>
                </c:pt>
                <c:pt idx="322">
                  <c:v>6.2273999338260033</c:v>
                </c:pt>
                <c:pt idx="323">
                  <c:v>6.2301079665553454</c:v>
                </c:pt>
                <c:pt idx="324">
                  <c:v>6.23274980493618</c:v>
                </c:pt>
                <c:pt idx="325">
                  <c:v>6.23532389770289</c:v>
                </c:pt>
                <c:pt idx="326">
                  <c:v>6.2378287040390425</c:v>
                </c:pt>
                <c:pt idx="327">
                  <c:v>6.2402626963325218</c:v>
                </c:pt>
                <c:pt idx="328">
                  <c:v>6.2426243630011049</c:v>
                </c:pt>
                <c:pt idx="329">
                  <c:v>6.2449122113799911</c:v>
                </c:pt>
                <c:pt idx="330">
                  <c:v>6.2471247706620021</c:v>
                </c:pt>
                <c:pt idx="331">
                  <c:v>6.2492605948805586</c:v>
                </c:pt>
                <c:pt idx="332">
                  <c:v>6.251318265924807</c:v>
                </c:pt>
                <c:pt idx="333">
                  <c:v>6.2532963965757062</c:v>
                </c:pt>
                <c:pt idx="334">
                  <c:v>6.2551936335513156</c:v>
                </c:pt>
                <c:pt idx="335">
                  <c:v>6.2570086605490003</c:v>
                </c:pt>
                <c:pt idx="336">
                  <c:v>6.2587402012718503</c:v>
                </c:pt>
                <c:pt idx="337">
                  <c:v>6.2603870224262455</c:v>
                </c:pt>
                <c:pt idx="338">
                  <c:v>6.2619479366771964</c:v>
                </c:pt>
                <c:pt idx="339">
                  <c:v>6.2634218055479227</c:v>
                </c:pt>
                <c:pt idx="340">
                  <c:v>6.2648075422500025</c:v>
                </c:pt>
                <c:pt idx="341">
                  <c:v>6.2661041144304104</c:v>
                </c:pt>
                <c:pt idx="342">
                  <c:v>6.2673105468218999</c:v>
                </c:pt>
                <c:pt idx="343">
                  <c:v>6.2684259237833286</c:v>
                </c:pt>
                <c:pt idx="344">
                  <c:v>6.2694493917168614</c:v>
                </c:pt>
                <c:pt idx="345">
                  <c:v>6.2703801613493768</c:v>
                </c:pt>
                <c:pt idx="346">
                  <c:v>6.2712175098659388</c:v>
                </c:pt>
                <c:pt idx="347">
                  <c:v>6.2719607828837862</c:v>
                </c:pt>
                <c:pt idx="348">
                  <c:v>6.2726093962560237</c:v>
                </c:pt>
                <c:pt idx="349">
                  <c:v>6.2731628376950095</c:v>
                </c:pt>
                <c:pt idx="350">
                  <c:v>6.2736206682063616</c:v>
                </c:pt>
                <c:pt idx="351">
                  <c:v>6.273982523325432</c:v>
                </c:pt>
                <c:pt idx="352">
                  <c:v>6.2742481141492279</c:v>
                </c:pt>
                <c:pt idx="353">
                  <c:v>6.2744172281578274</c:v>
                </c:pt>
                <c:pt idx="354">
                  <c:v>6.2744897298205924</c:v>
                </c:pt>
                <c:pt idx="355">
                  <c:v>6.2744655609836109</c:v>
                </c:pt>
                <c:pt idx="356">
                  <c:v>6.2743447410361428</c:v>
                </c:pt>
                <c:pt idx="357">
                  <c:v>6.2741273668551276</c:v>
                </c:pt>
                <c:pt idx="358">
                  <c:v>6.2738136125280128</c:v>
                </c:pt>
                <c:pt idx="359">
                  <c:v>6.2734037288555786</c:v>
                </c:pt>
                <c:pt idx="360">
                  <c:v>6.2728980426376051</c:v>
                </c:pt>
                <c:pt idx="361">
                  <c:v>6.272296955745535</c:v>
                </c:pt>
                <c:pt idx="362">
                  <c:v>6.2716009439874645</c:v>
                </c:pt>
                <c:pt idx="363">
                  <c:v>6.2708105557719467</c:v>
                </c:pt>
                <c:pt idx="364">
                  <c:v>6.2699264105782317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E-4144-8E52-EDA61B8D2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812688"/>
        <c:axId val="2106828048"/>
      </c:scatterChart>
      <c:valAx>
        <c:axId val="21068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828048"/>
        <c:crosses val="autoZero"/>
        <c:crossBetween val="midCat"/>
      </c:valAx>
      <c:valAx>
        <c:axId val="21068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8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Angulo do pôr do sol para un módulo inclinado a 15 graus na direção do hemisfério Norte em Petrolina</a:t>
            </a:r>
          </a:p>
        </c:rich>
      </c:tx>
      <c:layout>
        <c:manualLayout>
          <c:xMode val="edge"/>
          <c:yMode val="edge"/>
          <c:x val="0.1082845581802274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Planilha1!$AA$6:$AA$370</c:f>
              <c:numCache>
                <c:formatCode>General</c:formatCode>
                <c:ptCount val="365"/>
                <c:pt idx="0">
                  <c:v>6.1791735474495519</c:v>
                </c:pt>
                <c:pt idx="1">
                  <c:v>6.1784457038608913</c:v>
                </c:pt>
                <c:pt idx="2">
                  <c:v>6.1776570409284179</c:v>
                </c:pt>
                <c:pt idx="3">
                  <c:v>6.1768081563552784</c:v>
                </c:pt>
                <c:pt idx="4">
                  <c:v>6.1758996878667682</c:v>
                </c:pt>
                <c:pt idx="5">
                  <c:v>6.1749323115494485</c:v>
                </c:pt>
                <c:pt idx="6">
                  <c:v>6.1739067401151324</c:v>
                </c:pt>
                <c:pt idx="7">
                  <c:v>6.1728237210984904</c:v>
                </c:pt>
                <c:pt idx="8">
                  <c:v>6.1716840349972362</c:v>
                </c:pt>
                <c:pt idx="9">
                  <c:v>6.1704884933638811</c:v>
                </c:pt>
                <c:pt idx="10">
                  <c:v>6.1692379368580834</c:v>
                </c:pt>
                <c:pt idx="11">
                  <c:v>6.1679332332685828</c:v>
                </c:pt>
                <c:pt idx="12">
                  <c:v>6.1665752755135417</c:v>
                </c:pt>
                <c:pt idx="13">
                  <c:v>6.1651649796280363</c:v>
                </c:pt>
                <c:pt idx="14">
                  <c:v>6.1637032827471021</c:v>
                </c:pt>
                <c:pt idx="15">
                  <c:v>6.1621911410925518</c:v>
                </c:pt>
                <c:pt idx="16">
                  <c:v>6.1606295279714436</c:v>
                </c:pt>
                <c:pt idx="17">
                  <c:v>6.1590194317936762</c:v>
                </c:pt>
                <c:pt idx="18">
                  <c:v>6.1573618541158499</c:v>
                </c:pt>
                <c:pt idx="19">
                  <c:v>6.1556578077180708</c:v>
                </c:pt>
                <c:pt idx="20">
                  <c:v>6.1539083147199456</c:v>
                </c:pt>
                <c:pt idx="21">
                  <c:v>6.1521144047415293</c:v>
                </c:pt>
                <c:pt idx="22">
                  <c:v>6.1502771131145328</c:v>
                </c:pt>
                <c:pt idx="23">
                  <c:v>6.1483974791485796</c:v>
                </c:pt>
                <c:pt idx="24">
                  <c:v>6.1464765444568199</c:v>
                </c:pt>
                <c:pt idx="25">
                  <c:v>6.1445153513447233</c:v>
                </c:pt>
                <c:pt idx="26">
                  <c:v>6.1425149412653477</c:v>
                </c:pt>
                <c:pt idx="27">
                  <c:v>6.1404763533439564</c:v>
                </c:pt>
                <c:pt idx="28">
                  <c:v>6.1384006229743067</c:v>
                </c:pt>
                <c:pt idx="29">
                  <c:v>6.1362887804885542</c:v>
                </c:pt>
                <c:pt idx="30">
                  <c:v>6.1341418499022202</c:v>
                </c:pt>
                <c:pt idx="31">
                  <c:v>6.1319608477352716</c:v>
                </c:pt>
                <c:pt idx="32">
                  <c:v>6.1297467819099731</c:v>
                </c:pt>
                <c:pt idx="33">
                  <c:v>6.1275006507257581</c:v>
                </c:pt>
                <c:pt idx="34">
                  <c:v>6.1252234419110643</c:v>
                </c:pt>
                <c:pt idx="35">
                  <c:v>6.1229161317517047</c:v>
                </c:pt>
                <c:pt idx="36">
                  <c:v>6.1205796842950644</c:v>
                </c:pt>
                <c:pt idx="37">
                  <c:v>6.1182150506291526</c:v>
                </c:pt>
                <c:pt idx="38">
                  <c:v>6.1158231682352566</c:v>
                </c:pt>
                <c:pt idx="39">
                  <c:v>6.1134049604127387</c:v>
                </c:pt>
                <c:pt idx="40">
                  <c:v>6.1109613357743306</c:v>
                </c:pt>
                <c:pt idx="41">
                  <c:v>6.1084931878100823</c:v>
                </c:pt>
                <c:pt idx="42">
                  <c:v>6.106001394517981</c:v>
                </c:pt>
                <c:pt idx="43">
                  <c:v>6.1034868180991468</c:v>
                </c:pt>
                <c:pt idx="44">
                  <c:v>6.1009503047153677</c:v>
                </c:pt>
                <c:pt idx="45">
                  <c:v>6.0983926843066998</c:v>
                </c:pt>
                <c:pt idx="46">
                  <c:v>6.0958147704667685</c:v>
                </c:pt>
                <c:pt idx="47">
                  <c:v>6.0932173603733464</c:v>
                </c:pt>
                <c:pt idx="48">
                  <c:v>6.0906012347717908</c:v>
                </c:pt>
                <c:pt idx="49">
                  <c:v>6.0879671580088832</c:v>
                </c:pt>
                <c:pt idx="50">
                  <c:v>6.0853158781146384</c:v>
                </c:pt>
                <c:pt idx="51">
                  <c:v>6.0826481269296186</c:v>
                </c:pt>
                <c:pt idx="52">
                  <c:v>6.079964620275387</c:v>
                </c:pt>
                <c:pt idx="53">
                  <c:v>6.0772660581656952</c:v>
                </c:pt>
                <c:pt idx="54">
                  <c:v>6.0745531250561129</c:v>
                </c:pt>
                <c:pt idx="55">
                  <c:v>6.0718264901297854</c:v>
                </c:pt>
                <c:pt idx="56">
                  <c:v>6.0690868076171709</c:v>
                </c:pt>
                <c:pt idx="57">
                  <c:v>6.0663347171475488</c:v>
                </c:pt>
                <c:pt idx="58">
                  <c:v>6.0635708441302718</c:v>
                </c:pt>
                <c:pt idx="59">
                  <c:v>6.0607958001637554</c:v>
                </c:pt>
                <c:pt idx="60">
                  <c:v>6.0580101834702473</c:v>
                </c:pt>
                <c:pt idx="61">
                  <c:v>6.0552145793546091</c:v>
                </c:pt>
                <c:pt idx="62">
                  <c:v>6.052409560685275</c:v>
                </c:pt>
                <c:pt idx="63">
                  <c:v>6.0495956883957431</c:v>
                </c:pt>
                <c:pt idx="64">
                  <c:v>6.0467735120050135</c:v>
                </c:pt>
                <c:pt idx="65">
                  <c:v>6.0439435701554149</c:v>
                </c:pt>
                <c:pt idx="66">
                  <c:v>6.0411063911664193</c:v>
                </c:pt>
                <c:pt idx="67">
                  <c:v>6.0382624936030416</c:v>
                </c:pt>
                <c:pt idx="68">
                  <c:v>6.0354123868575726</c:v>
                </c:pt>
                <c:pt idx="69">
                  <c:v>6.0325565717433944</c:v>
                </c:pt>
                <c:pt idx="70">
                  <c:v>6.0296955410997288</c:v>
                </c:pt>
                <c:pt idx="71">
                  <c:v>6.0268297804062634</c:v>
                </c:pt>
                <c:pt idx="72">
                  <c:v>6.0239597684065762</c:v>
                </c:pt>
                <c:pt idx="73">
                  <c:v>6.0210859777394345</c:v>
                </c:pt>
                <c:pt idx="74">
                  <c:v>6.0182088755770176</c:v>
                </c:pt>
                <c:pt idx="75">
                  <c:v>6.0153289242692081</c:v>
                </c:pt>
                <c:pt idx="76">
                  <c:v>6.012446581993121</c:v>
                </c:pt>
                <c:pt idx="77">
                  <c:v>6.0095623034070655</c:v>
                </c:pt>
                <c:pt idx="78">
                  <c:v>6.0066765403082014</c:v>
                </c:pt>
                <c:pt idx="79">
                  <c:v>6.0037897422931499</c:v>
                </c:pt>
                <c:pt idx="80">
                  <c:v>6.000902357420844</c:v>
                </c:pt>
                <c:pt idx="81">
                  <c:v>5.9980148328769509</c:v>
                </c:pt>
                <c:pt idx="82">
                  <c:v>5.9951276156391531</c:v>
                </c:pt>
                <c:pt idx="83">
                  <c:v>5.9922411531426594</c:v>
                </c:pt>
                <c:pt idx="84">
                  <c:v>5.9893558939452456</c:v>
                </c:pt>
                <c:pt idx="85">
                  <c:v>5.986472288391159</c:v>
                </c:pt>
                <c:pt idx="86">
                  <c:v>5.9835907892732223</c:v>
                </c:pt>
                <c:pt idx="87">
                  <c:v>5.9807118524924086</c:v>
                </c:pt>
                <c:pt idx="88">
                  <c:v>5.9778359377142047</c:v>
                </c:pt>
                <c:pt idx="89">
                  <c:v>5.9749635090210029</c:v>
                </c:pt>
                <c:pt idx="90">
                  <c:v>5.9720950355597573</c:v>
                </c:pt>
                <c:pt idx="91">
                  <c:v>5.9692309921840989</c:v>
                </c:pt>
                <c:pt idx="92">
                  <c:v>5.9663718600900681</c:v>
                </c:pt>
                <c:pt idx="93">
                  <c:v>5.9635181274445737</c:v>
                </c:pt>
                <c:pt idx="94">
                  <c:v>5.9606702900056279</c:v>
                </c:pt>
                <c:pt idx="95">
                  <c:v>5.9578288517333959</c:v>
                </c:pt>
                <c:pt idx="96">
                  <c:v>5.9549943253909747</c:v>
                </c:pt>
                <c:pt idx="97">
                  <c:v>5.9521672331338227</c:v>
                </c:pt>
                <c:pt idx="98">
                  <c:v>5.9493481070866228</c:v>
                </c:pt>
                <c:pt idx="99">
                  <c:v>5.9465374899063859</c:v>
                </c:pt>
                <c:pt idx="100">
                  <c:v>5.9437359353304231</c:v>
                </c:pt>
                <c:pt idx="101">
                  <c:v>5.9409440087078291</c:v>
                </c:pt>
                <c:pt idx="102">
                  <c:v>5.9381622875129958</c:v>
                </c:pt>
                <c:pt idx="103">
                  <c:v>5.9353913618395975</c:v>
                </c:pt>
                <c:pt idx="104">
                  <c:v>5.9326318348734324</c:v>
                </c:pt>
                <c:pt idx="105">
                  <c:v>5.9298843233424101</c:v>
                </c:pt>
                <c:pt idx="106">
                  <c:v>5.9271494579418746</c:v>
                </c:pt>
                <c:pt idx="107">
                  <c:v>5.924427883733423</c:v>
                </c:pt>
                <c:pt idx="108">
                  <c:v>5.9217202605152348</c:v>
                </c:pt>
                <c:pt idx="109">
                  <c:v>5.9190272631619321</c:v>
                </c:pt>
                <c:pt idx="110">
                  <c:v>5.9163495819317991</c:v>
                </c:pt>
                <c:pt idx="111">
                  <c:v>5.9136879227392818</c:v>
                </c:pt>
                <c:pt idx="112">
                  <c:v>5.9110430073904556</c:v>
                </c:pt>
                <c:pt idx="113">
                  <c:v>5.9084155737792177</c:v>
                </c:pt>
                <c:pt idx="114">
                  <c:v>5.9058063760418378</c:v>
                </c:pt>
                <c:pt idx="115">
                  <c:v>5.9032161846675049</c:v>
                </c:pt>
                <c:pt idx="116">
                  <c:v>5.9006457865624187</c:v>
                </c:pt>
                <c:pt idx="117">
                  <c:v>5.898095985065023</c:v>
                </c:pt>
                <c:pt idx="118">
                  <c:v>5.8955675999099038</c:v>
                </c:pt>
                <c:pt idx="119">
                  <c:v>5.8930614671379296</c:v>
                </c:pt>
                <c:pt idx="120">
                  <c:v>5.8905784389501887</c:v>
                </c:pt>
                <c:pt idx="121">
                  <c:v>5.8881193835033381</c:v>
                </c:pt>
                <c:pt idx="122">
                  <c:v>5.8856851846440277</c:v>
                </c:pt>
                <c:pt idx="123">
                  <c:v>5.8832767415801381</c:v>
                </c:pt>
                <c:pt idx="124">
                  <c:v>5.8808949684866318</c:v>
                </c:pt>
                <c:pt idx="125">
                  <c:v>5.8785407940439889</c:v>
                </c:pt>
                <c:pt idx="126">
                  <c:v>5.8762151609072601</c:v>
                </c:pt>
                <c:pt idx="127">
                  <c:v>5.8739190251040077</c:v>
                </c:pt>
                <c:pt idx="128">
                  <c:v>5.8716533553595101</c:v>
                </c:pt>
                <c:pt idx="129">
                  <c:v>5.8694191323478755</c:v>
                </c:pt>
                <c:pt idx="130">
                  <c:v>5.8672173478679053</c:v>
                </c:pt>
                <c:pt idx="131">
                  <c:v>5.8650490039428389</c:v>
                </c:pt>
                <c:pt idx="132">
                  <c:v>5.8629151118433498</c:v>
                </c:pt>
                <c:pt idx="133">
                  <c:v>5.860816691033528</c:v>
                </c:pt>
                <c:pt idx="134">
                  <c:v>5.8587547680398933</c:v>
                </c:pt>
                <c:pt idx="135">
                  <c:v>5.8567303752438367</c:v>
                </c:pt>
                <c:pt idx="136">
                  <c:v>5.8547445495982897</c:v>
                </c:pt>
                <c:pt idx="137">
                  <c:v>5.8527983312698302</c:v>
                </c:pt>
                <c:pt idx="138">
                  <c:v>5.8508927622078524</c:v>
                </c:pt>
                <c:pt idx="139">
                  <c:v>5.8490288846428635</c:v>
                </c:pt>
                <c:pt idx="140">
                  <c:v>5.8472077395164765</c:v>
                </c:pt>
                <c:pt idx="141">
                  <c:v>5.8454303648460915</c:v>
                </c:pt>
                <c:pt idx="142">
                  <c:v>5.8436977940277774</c:v>
                </c:pt>
                <c:pt idx="143">
                  <c:v>5.842011054081353</c:v>
                </c:pt>
                <c:pt idx="144">
                  <c:v>5.8403711638421623</c:v>
                </c:pt>
                <c:pt idx="145">
                  <c:v>5.8387791321045155</c:v>
                </c:pt>
                <c:pt idx="146">
                  <c:v>5.8372359557222824</c:v>
                </c:pt>
                <c:pt idx="147">
                  <c:v>5.8357426176725937</c:v>
                </c:pt>
                <c:pt idx="148">
                  <c:v>5.8343000850890405</c:v>
                </c:pt>
                <c:pt idx="149">
                  <c:v>5.8329093072712448</c:v>
                </c:pt>
                <c:pt idx="150">
                  <c:v>5.8315712136780498</c:v>
                </c:pt>
                <c:pt idx="151">
                  <c:v>5.8302867119119943</c:v>
                </c:pt>
                <c:pt idx="152">
                  <c:v>5.8290566857030512</c:v>
                </c:pt>
                <c:pt idx="153">
                  <c:v>5.8278819928999157</c:v>
                </c:pt>
                <c:pt idx="154">
                  <c:v>5.826763463477433</c:v>
                </c:pt>
                <c:pt idx="155">
                  <c:v>5.8257018975688872</c:v>
                </c:pt>
                <c:pt idx="156">
                  <c:v>5.8246980635320655</c:v>
                </c:pt>
                <c:pt idx="157">
                  <c:v>5.8237526960581318</c:v>
                </c:pt>
                <c:pt idx="158">
                  <c:v>5.8228664943322697</c:v>
                </c:pt>
                <c:pt idx="159">
                  <c:v>5.8220401202551626</c:v>
                </c:pt>
                <c:pt idx="160">
                  <c:v>5.8212741967341213</c:v>
                </c:pt>
                <c:pt idx="161">
                  <c:v>5.8205693060526142</c:v>
                </c:pt>
                <c:pt idx="162">
                  <c:v>5.8199259883266352</c:v>
                </c:pt>
                <c:pt idx="163">
                  <c:v>5.8193447400560823</c:v>
                </c:pt>
                <c:pt idx="164">
                  <c:v>5.8188260127788887</c:v>
                </c:pt>
                <c:pt idx="165">
                  <c:v>5.8183702118352292</c:v>
                </c:pt>
                <c:pt idx="166">
                  <c:v>5.8179776952486204</c:v>
                </c:pt>
                <c:pt idx="167">
                  <c:v>5.8176487727301067</c:v>
                </c:pt>
                <c:pt idx="168">
                  <c:v>5.8173837048111823</c:v>
                </c:pt>
                <c:pt idx="169">
                  <c:v>5.8171827021103004</c:v>
                </c:pt>
                <c:pt idx="170">
                  <c:v>5.8170459247372053</c:v>
                </c:pt>
                <c:pt idx="171">
                  <c:v>5.8169734818384882</c:v>
                </c:pt>
                <c:pt idx="172">
                  <c:v>5.8169654312869898</c:v>
                </c:pt>
                <c:pt idx="173">
                  <c:v>5.8170217795168506</c:v>
                </c:pt>
                <c:pt idx="174">
                  <c:v>5.8171424815051571</c:v>
                </c:pt>
                <c:pt idx="175">
                  <c:v>5.8173274409003009</c:v>
                </c:pt>
                <c:pt idx="176">
                  <c:v>5.817576510296302</c:v>
                </c:pt>
                <c:pt idx="177">
                  <c:v>5.8178894916515054</c:v>
                </c:pt>
                <c:pt idx="178">
                  <c:v>5.8182661368492337</c:v>
                </c:pt>
                <c:pt idx="179">
                  <c:v>5.8187061483971751</c:v>
                </c:pt>
                <c:pt idx="180">
                  <c:v>5.8192091802615176</c:v>
                </c:pt>
                <c:pt idx="181">
                  <c:v>5.8197748388310533</c:v>
                </c:pt>
                <c:pt idx="182">
                  <c:v>5.8204026840058942</c:v>
                </c:pt>
                <c:pt idx="183">
                  <c:v>5.8210922304046333</c:v>
                </c:pt>
                <c:pt idx="184">
                  <c:v>5.8218429486833765</c:v>
                </c:pt>
                <c:pt idx="185">
                  <c:v>5.8226542669593844</c:v>
                </c:pt>
                <c:pt idx="186">
                  <c:v>5.8235255723317003</c:v>
                </c:pt>
                <c:pt idx="187">
                  <c:v>5.8244562124906913</c:v>
                </c:pt>
                <c:pt idx="188">
                  <c:v>5.8254454974081336</c:v>
                </c:pt>
                <c:pt idx="189">
                  <c:v>5.8264927010991414</c:v>
                </c:pt>
                <c:pt idx="190">
                  <c:v>5.8275970634471577</c:v>
                </c:pt>
                <c:pt idx="191">
                  <c:v>5.8287577920829845</c:v>
                </c:pt>
                <c:pt idx="192">
                  <c:v>5.8299740643088631</c:v>
                </c:pt>
                <c:pt idx="193">
                  <c:v>5.8312450290585733</c:v>
                </c:pt>
                <c:pt idx="194">
                  <c:v>5.8325698088846272</c:v>
                </c:pt>
                <c:pt idx="195">
                  <c:v>5.8339475019637579</c:v>
                </c:pt>
                <c:pt idx="196">
                  <c:v>5.8353771841120716</c:v>
                </c:pt>
                <c:pt idx="197">
                  <c:v>5.8368579108015295</c:v>
                </c:pt>
                <c:pt idx="198">
                  <c:v>5.8383887191696608</c:v>
                </c:pt>
                <c:pt idx="199">
                  <c:v>5.8399686300147948</c:v>
                </c:pt>
                <c:pt idx="200">
                  <c:v>5.8415966497694098</c:v>
                </c:pt>
                <c:pt idx="201">
                  <c:v>5.8432717724446883</c:v>
                </c:pt>
                <c:pt idx="202">
                  <c:v>5.8449929815397246</c:v>
                </c:pt>
                <c:pt idx="203">
                  <c:v>5.8467592519093188</c:v>
                </c:pt>
                <c:pt idx="204">
                  <c:v>5.8485695515847782</c:v>
                </c:pt>
                <c:pt idx="205">
                  <c:v>5.850422843542602</c:v>
                </c:pt>
                <c:pt idx="206">
                  <c:v>5.8523180874164398</c:v>
                </c:pt>
                <c:pt idx="207">
                  <c:v>5.8542542411482144</c:v>
                </c:pt>
                <c:pt idx="208">
                  <c:v>5.856230262574754</c:v>
                </c:pt>
                <c:pt idx="209">
                  <c:v>5.8582451109468279</c:v>
                </c:pt>
                <c:pt idx="210">
                  <c:v>5.8602977483779082</c:v>
                </c:pt>
                <c:pt idx="211">
                  <c:v>5.8623871412204744</c:v>
                </c:pt>
                <c:pt idx="212">
                  <c:v>5.8645122613681009</c:v>
                </c:pt>
                <c:pt idx="213">
                  <c:v>5.8666720874820593</c:v>
                </c:pt>
                <c:pt idx="214">
                  <c:v>5.8688656061414974</c:v>
                </c:pt>
                <c:pt idx="215">
                  <c:v>5.8710918129167204</c:v>
                </c:pt>
                <c:pt idx="216">
                  <c:v>5.8733497133654264</c:v>
                </c:pt>
                <c:pt idx="217">
                  <c:v>5.8756383239521082</c:v>
                </c:pt>
                <c:pt idx="218">
                  <c:v>5.8779566728911545</c:v>
                </c:pt>
                <c:pt idx="219">
                  <c:v>5.8803038009144375</c:v>
                </c:pt>
                <c:pt idx="220">
                  <c:v>5.8826787619645184</c:v>
                </c:pt>
                <c:pt idx="221">
                  <c:v>5.8850806238147531</c:v>
                </c:pt>
                <c:pt idx="222">
                  <c:v>5.8875084686178436</c:v>
                </c:pt>
                <c:pt idx="223">
                  <c:v>5.8899613933845965</c:v>
                </c:pt>
                <c:pt idx="224">
                  <c:v>5.8924385103947081</c:v>
                </c:pt>
                <c:pt idx="225">
                  <c:v>5.8949389475416956</c:v>
                </c:pt>
                <c:pt idx="226">
                  <c:v>5.897461848614058</c:v>
                </c:pt>
                <c:pt idx="227">
                  <c:v>5.900006373514926</c:v>
                </c:pt>
                <c:pt idx="228">
                  <c:v>5.9025716984225651</c:v>
                </c:pt>
                <c:pt idx="229">
                  <c:v>5.9051570158940523</c:v>
                </c:pt>
                <c:pt idx="230">
                  <c:v>5.9077615349145933</c:v>
                </c:pt>
                <c:pt idx="231">
                  <c:v>5.9103844808948871</c:v>
                </c:pt>
                <c:pt idx="232">
                  <c:v>5.9130250956190258</c:v>
                </c:pt>
                <c:pt idx="233">
                  <c:v>5.9156826371453297</c:v>
                </c:pt>
                <c:pt idx="234">
                  <c:v>5.9183563796625744</c:v>
                </c:pt>
                <c:pt idx="235">
                  <c:v>5.9210456133039884</c:v>
                </c:pt>
                <c:pt idx="236">
                  <c:v>5.9237496439213828</c:v>
                </c:pt>
                <c:pt idx="237">
                  <c:v>5.9264677928217075</c:v>
                </c:pt>
                <c:pt idx="238">
                  <c:v>5.9291993964682934</c:v>
                </c:pt>
                <c:pt idx="239">
                  <c:v>5.9319438061489613</c:v>
                </c:pt>
                <c:pt idx="240">
                  <c:v>5.9347003876131117</c:v>
                </c:pt>
                <c:pt idx="241">
                  <c:v>5.9374685206798539</c:v>
                </c:pt>
                <c:pt idx="242">
                  <c:v>5.9402475988191101</c:v>
                </c:pt>
                <c:pt idx="243">
                  <c:v>5.9430370287076419</c:v>
                </c:pt>
                <c:pt idx="244">
                  <c:v>5.9458362297617535</c:v>
                </c:pt>
                <c:pt idx="245">
                  <c:v>5.9486446336484295</c:v>
                </c:pt>
                <c:pt idx="246">
                  <c:v>5.9514616837765653</c:v>
                </c:pt>
                <c:pt idx="247">
                  <c:v>5.9542868347698263</c:v>
                </c:pt>
                <c:pt idx="248">
                  <c:v>5.9571195519226698</c:v>
                </c:pt>
                <c:pt idx="249">
                  <c:v>5.9599593106408966</c:v>
                </c:pt>
                <c:pt idx="250">
                  <c:v>5.9628055958681108</c:v>
                </c:pt>
                <c:pt idx="251">
                  <c:v>5.9656579014993119</c:v>
                </c:pt>
                <c:pt idx="252">
                  <c:v>5.9685157297828493</c:v>
                </c:pt>
                <c:pt idx="253">
                  <c:v>5.971378590711848</c:v>
                </c:pt>
                <c:pt idx="254">
                  <c:v>5.974246001406164</c:v>
                </c:pt>
                <c:pt idx="255">
                  <c:v>5.9771174854858939</c:v>
                </c:pt>
                <c:pt idx="256">
                  <c:v>5.9799925724373777</c:v>
                </c:pt>
                <c:pt idx="257">
                  <c:v>5.9828707969725974</c:v>
                </c:pt>
                <c:pt idx="258">
                  <c:v>5.9857516983828321</c:v>
                </c:pt>
                <c:pt idx="259">
                  <c:v>5.9886348198873698</c:v>
                </c:pt>
                <c:pt idx="260">
                  <c:v>5.9915197079780746</c:v>
                </c:pt>
                <c:pt idx="261">
                  <c:v>5.9944059117605395</c:v>
                </c:pt>
                <c:pt idx="262">
                  <c:v>5.9972929822925529</c:v>
                </c:pt>
                <c:pt idx="263">
                  <c:v>6.0001804719205811</c:v>
                </c:pt>
                <c:pt idx="264">
                  <c:v>6.0030679336149415</c:v>
                </c:pt>
                <c:pt idx="265">
                  <c:v>6.0059549203043563</c:v>
                </c:pt>
                <c:pt idx="266">
                  <c:v>6.0088409842105408</c:v>
                </c:pt>
                <c:pt idx="267">
                  <c:v>6.0117256761835147</c:v>
                </c:pt>
                <c:pt idx="268">
                  <c:v>6.0146085450382829</c:v>
                </c:pt>
                <c:pt idx="269">
                  <c:v>6.0174891368936043</c:v>
                </c:pt>
                <c:pt idx="270">
                  <c:v>6.0203669945135356</c:v>
                </c:pt>
                <c:pt idx="271">
                  <c:v>6.0232416566524636</c:v>
                </c:pt>
                <c:pt idx="272">
                  <c:v>6.0261126574044033</c:v>
                </c:pt>
                <c:pt idx="273">
                  <c:v>6.0289795255573209</c:v>
                </c:pt>
                <c:pt idx="274">
                  <c:v>6.0318417839533085</c:v>
                </c:pt>
                <c:pt idx="275">
                  <c:v>6.0346989488554792</c:v>
                </c:pt>
                <c:pt idx="276">
                  <c:v>6.0375505293224752</c:v>
                </c:pt>
                <c:pt idx="277">
                  <c:v>6.0403960265915515</c:v>
                </c:pt>
                <c:pt idx="278">
                  <c:v>6.0432349334712647</c:v>
                </c:pt>
                <c:pt idx="279">
                  <c:v>6.0460667337448095</c:v>
                </c:pt>
                <c:pt idx="280">
                  <c:v>6.0488909015851569</c:v>
                </c:pt>
                <c:pt idx="281">
                  <c:v>6.0517069009832039</c:v>
                </c:pt>
                <c:pt idx="282">
                  <c:v>6.0545141851901914</c:v>
                </c:pt>
                <c:pt idx="283">
                  <c:v>6.0573121961757392</c:v>
                </c:pt>
                <c:pt idx="284">
                  <c:v>6.0601003641029285</c:v>
                </c:pt>
                <c:pt idx="285">
                  <c:v>6.0628781068219286</c:v>
                </c:pt>
                <c:pt idx="286">
                  <c:v>6.0656448293837384</c:v>
                </c:pt>
                <c:pt idx="287">
                  <c:v>6.0683999235757158</c:v>
                </c:pt>
                <c:pt idx="288">
                  <c:v>6.0711427674806266</c:v>
                </c:pt>
                <c:pt idx="289">
                  <c:v>6.0738727250610278</c:v>
                </c:pt>
                <c:pt idx="290">
                  <c:v>6.0765891457709129</c:v>
                </c:pt>
                <c:pt idx="291">
                  <c:v>6.0792913641965551</c:v>
                </c:pt>
                <c:pt idx="292">
                  <c:v>6.0819786997286478</c:v>
                </c:pt>
                <c:pt idx="293">
                  <c:v>6.0846504562678367</c:v>
                </c:pt>
                <c:pt idx="294">
                  <c:v>6.0873059219658501</c:v>
                </c:pt>
                <c:pt idx="295">
                  <c:v>6.0899443690044892</c:v>
                </c:pt>
                <c:pt idx="296">
                  <c:v>6.092565053414762</c:v>
                </c:pt>
                <c:pt idx="297">
                  <c:v>6.0951672149385709</c:v>
                </c:pt>
                <c:pt idx="298">
                  <c:v>6.0977500769352861</c:v>
                </c:pt>
                <c:pt idx="299">
                  <c:v>6.1003128463356999</c:v>
                </c:pt>
                <c:pt idx="300">
                  <c:v>6.1028547136457467</c:v>
                </c:pt>
                <c:pt idx="301">
                  <c:v>6.1053748530024903</c:v>
                </c:pt>
                <c:pt idx="302">
                  <c:v>6.1078724222847658</c:v>
                </c:pt>
                <c:pt idx="303">
                  <c:v>6.1103465632809444</c:v>
                </c:pt>
                <c:pt idx="304">
                  <c:v>6.1127964019161549</c:v>
                </c:pt>
                <c:pt idx="305">
                  <c:v>6.115221048541291</c:v>
                </c:pt>
                <c:pt idx="306">
                  <c:v>6.1176195982860522</c:v>
                </c:pt>
                <c:pt idx="307">
                  <c:v>6.1199911314781303</c:v>
                </c:pt>
                <c:pt idx="308">
                  <c:v>6.1223347141305799</c:v>
                </c:pt>
                <c:pt idx="309">
                  <c:v>6.1246493984992263</c:v>
                </c:pt>
                <c:pt idx="310">
                  <c:v>6.1269342237118387</c:v>
                </c:pt>
                <c:pt idx="311">
                  <c:v>6.1291882164705473</c:v>
                </c:pt>
                <c:pt idx="312">
                  <c:v>6.1314103918288305</c:v>
                </c:pt>
                <c:pt idx="313">
                  <c:v>6.1335997540441127</c:v>
                </c:pt>
                <c:pt idx="314">
                  <c:v>6.1357552975067442</c:v>
                </c:pt>
                <c:pt idx="315">
                  <c:v>6.1378760077458603</c:v>
                </c:pt>
                <c:pt idx="316">
                  <c:v>6.1399608625122974</c:v>
                </c:pt>
                <c:pt idx="317">
                  <c:v>6.142008832938358</c:v>
                </c:pt>
                <c:pt idx="318">
                  <c:v>6.1440188847738968</c:v>
                </c:pt>
                <c:pt idx="319">
                  <c:v>6.1459899796977799</c:v>
                </c:pt>
                <c:pt idx="320">
                  <c:v>6.1479210767033399</c:v>
                </c:pt>
                <c:pt idx="321">
                  <c:v>6.1498111335560566</c:v>
                </c:pt>
                <c:pt idx="322">
                  <c:v>6.1516591083211933</c:v>
                </c:pt>
                <c:pt idx="323">
                  <c:v>6.1534639609586756</c:v>
                </c:pt>
                <c:pt idx="324">
                  <c:v>6.1552246549820291</c:v>
                </c:pt>
                <c:pt idx="325">
                  <c:v>6.1569401591776529</c:v>
                </c:pt>
                <c:pt idx="326">
                  <c:v>6.1586094493802976</c:v>
                </c:pt>
                <c:pt idx="327">
                  <c:v>6.1602315103000169</c:v>
                </c:pt>
                <c:pt idx="328">
                  <c:v>6.1618053373954611</c:v>
                </c:pt>
                <c:pt idx="329">
                  <c:v>6.1633299387878422</c:v>
                </c:pt>
                <c:pt idx="330">
                  <c:v>6.1648043372094543</c:v>
                </c:pt>
                <c:pt idx="331">
                  <c:v>6.1662275719801452</c:v>
                </c:pt>
                <c:pt idx="332">
                  <c:v>6.1675987010047768</c:v>
                </c:pt>
                <c:pt idx="333">
                  <c:v>6.1689168027842021</c:v>
                </c:pt>
                <c:pt idx="334">
                  <c:v>6.1701809784320414</c:v>
                </c:pt>
                <c:pt idx="335">
                  <c:v>6.1713903536890804</c:v>
                </c:pt>
                <c:pt idx="336">
                  <c:v>6.1725440809269561</c:v>
                </c:pt>
                <c:pt idx="337">
                  <c:v>6.173641341132436</c:v>
                </c:pt>
                <c:pt idx="338">
                  <c:v>6.174681345863517</c:v>
                </c:pt>
                <c:pt idx="339">
                  <c:v>6.175663339168362</c:v>
                </c:pt>
                <c:pt idx="340">
                  <c:v>6.1765865994580738</c:v>
                </c:pt>
                <c:pt idx="341">
                  <c:v>6.1774504413242806</c:v>
                </c:pt>
                <c:pt idx="342">
                  <c:v>6.1782542172925821</c:v>
                </c:pt>
                <c:pt idx="343">
                  <c:v>6.178997319503023</c:v>
                </c:pt>
                <c:pt idx="344">
                  <c:v>6.179679181308968</c:v>
                </c:pt>
                <c:pt idx="345">
                  <c:v>6.1802992787860518</c:v>
                </c:pt>
                <c:pt idx="346">
                  <c:v>6.1808571321431547</c:v>
                </c:pt>
                <c:pt idx="347">
                  <c:v>6.1813523070278169</c:v>
                </c:pt>
                <c:pt idx="348">
                  <c:v>6.1817844157189761</c:v>
                </c:pt>
                <c:pt idx="349">
                  <c:v>6.1821531182003877</c:v>
                </c:pt>
                <c:pt idx="350">
                  <c:v>6.1824581231088054</c:v>
                </c:pt>
                <c:pt idx="351">
                  <c:v>6.1826991885514921</c:v>
                </c:pt>
                <c:pt idx="352">
                  <c:v>6.1828761227884721</c:v>
                </c:pt>
                <c:pt idx="353">
                  <c:v>6.1829887847756044</c:v>
                </c:pt>
                <c:pt idx="354">
                  <c:v>6.18303708456535</c:v>
                </c:pt>
                <c:pt idx="355">
                  <c:v>6.1830209835629093</c:v>
                </c:pt>
                <c:pt idx="356">
                  <c:v>6.1829404946362789</c:v>
                </c:pt>
                <c:pt idx="357">
                  <c:v>6.1827956820795347</c:v>
                </c:pt>
                <c:pt idx="358">
                  <c:v>6.1825866614296219</c:v>
                </c:pt>
                <c:pt idx="359">
                  <c:v>6.1823135991376486</c:v>
                </c:pt>
                <c:pt idx="360">
                  <c:v>6.1819767120966382</c:v>
                </c:pt>
                <c:pt idx="361">
                  <c:v>6.1815762670284187</c:v>
                </c:pt>
                <c:pt idx="362">
                  <c:v>6.1811125797332078</c:v>
                </c:pt>
                <c:pt idx="363">
                  <c:v>6.180586014206142</c:v>
                </c:pt>
                <c:pt idx="364">
                  <c:v>6.1799969816257665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8-4EC6-B641-3FBD9459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246624"/>
        <c:axId val="2107249024"/>
      </c:scatterChart>
      <c:valAx>
        <c:axId val="21072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49024"/>
        <c:crosses val="autoZero"/>
        <c:crossBetween val="midCat"/>
      </c:valAx>
      <c:valAx>
        <c:axId val="21072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17147856517939E-2"/>
          <c:y val="0.25462962962962965"/>
          <c:w val="0.87762729658792649"/>
          <c:h val="0.63797098279381748"/>
        </c:manualLayout>
      </c:layout>
      <c:scatterChart>
        <c:scatterStyle val="lineMarker"/>
        <c:varyColors val="0"/>
        <c:ser>
          <c:idx val="1"/>
          <c:order val="0"/>
          <c:spPr>
            <a:ln>
              <a:noFill/>
            </a:ln>
          </c:spPr>
          <c:xVal>
            <c:numRef>
              <c:f>Planilha1!$J$6:$J$370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Planilha1!$V$6:$V$370</c:f>
              <c:numCache>
                <c:formatCode>General</c:formatCode>
                <c:ptCount val="365"/>
                <c:pt idx="0">
                  <c:v>6.2686904391853071</c:v>
                </c:pt>
                <c:pt idx="1">
                  <c:v>6.2675979619308455</c:v>
                </c:pt>
                <c:pt idx="2">
                  <c:v>6.2664142099387714</c:v>
                </c:pt>
                <c:pt idx="3">
                  <c:v>6.2651400835609214</c:v>
                </c:pt>
                <c:pt idx="4">
                  <c:v>6.2637765433915824</c:v>
                </c:pt>
                <c:pt idx="5">
                  <c:v>6.2623246077567334</c:v>
                </c:pt>
                <c:pt idx="6">
                  <c:v>6.2607853500899404</c:v>
                </c:pt>
                <c:pt idx="7">
                  <c:v>6.2591598962082085</c:v>
                </c:pt>
                <c:pt idx="8">
                  <c:v>6.2574494215013292</c:v>
                </c:pt>
                <c:pt idx="9">
                  <c:v>6.2556551480483824</c:v>
                </c:pt>
                <c:pt idx="10">
                  <c:v>6.2537783416750603</c:v>
                </c:pt>
                <c:pt idx="11">
                  <c:v>6.2518203089653914</c:v>
                </c:pt>
                <c:pt idx="12">
                  <c:v>6.2497823942412989</c:v>
                </c:pt>
                <c:pt idx="13">
                  <c:v>6.2476659765231384</c:v>
                </c:pt>
                <c:pt idx="14">
                  <c:v>6.2454724664840091</c:v>
                </c:pt>
                <c:pt idx="15">
                  <c:v>6.2432033034102403</c:v>
                </c:pt>
                <c:pt idx="16">
                  <c:v>6.2408599521799575</c:v>
                </c:pt>
                <c:pt idx="17">
                  <c:v>6.2384439002710455</c:v>
                </c:pt>
                <c:pt idx="18">
                  <c:v>6.2359566548092955</c:v>
                </c:pt>
                <c:pt idx="19">
                  <c:v>6.2333997396668233</c:v>
                </c:pt>
                <c:pt idx="20">
                  <c:v>6.2307746926201633</c:v>
                </c:pt>
                <c:pt idx="21">
                  <c:v>6.2280830625767782</c:v>
                </c:pt>
                <c:pt idx="22">
                  <c:v>6.2253264068779401</c:v>
                </c:pt>
                <c:pt idx="23">
                  <c:v>6.2225062886852252</c:v>
                </c:pt>
                <c:pt idx="24">
                  <c:v>6.2196242744570975</c:v>
                </c:pt>
                <c:pt idx="25">
                  <c:v>6.2166819315213155</c:v>
                </c:pt>
                <c:pt idx="26">
                  <c:v>6.2136808257481553</c:v>
                </c:pt>
                <c:pt idx="27">
                  <c:v>6.2106225193286759</c:v>
                </c:pt>
                <c:pt idx="28">
                  <c:v>6.2075085686615976</c:v>
                </c:pt>
                <c:pt idx="29">
                  <c:v>6.204340522351619</c:v>
                </c:pt>
                <c:pt idx="30">
                  <c:v>6.2011199193213447</c:v>
                </c:pt>
                <c:pt idx="31">
                  <c:v>6.1978482870383989</c:v>
                </c:pt>
                <c:pt idx="32">
                  <c:v>6.1945271398586197</c:v>
                </c:pt>
                <c:pt idx="33">
                  <c:v>6.191157977485731</c:v>
                </c:pt>
                <c:pt idx="34">
                  <c:v>6.1877422835473244</c:v>
                </c:pt>
                <c:pt idx="35">
                  <c:v>6.1842815242864777</c:v>
                </c:pt>
                <c:pt idx="36">
                  <c:v>6.1807771473679285</c:v>
                </c:pt>
                <c:pt idx="37">
                  <c:v>6.1772305807972341</c:v>
                </c:pt>
                <c:pt idx="38">
                  <c:v>6.1736432319510559</c:v>
                </c:pt>
                <c:pt idx="39">
                  <c:v>6.1700164867162943</c:v>
                </c:pt>
                <c:pt idx="40">
                  <c:v>6.166351708735557</c:v>
                </c:pt>
                <c:pt idx="41">
                  <c:v>6.1626502387561599</c:v>
                </c:pt>
                <c:pt idx="42">
                  <c:v>6.1589133940796241</c:v>
                </c:pt>
                <c:pt idx="43">
                  <c:v>6.1551424681084699</c:v>
                </c:pt>
                <c:pt idx="44">
                  <c:v>6.15133872998695</c:v>
                </c:pt>
                <c:pt idx="45">
                  <c:v>6.1475034243322</c:v>
                </c:pt>
                <c:pt idx="46">
                  <c:v>6.1436377710522567</c:v>
                </c:pt>
                <c:pt idx="47">
                  <c:v>6.1397429652472599</c:v>
                </c:pt>
                <c:pt idx="48">
                  <c:v>6.1358201771901708</c:v>
                </c:pt>
                <c:pt idx="49">
                  <c:v>6.1318705523832708</c:v>
                </c:pt>
                <c:pt idx="50">
                  <c:v>6.1278952116867629</c:v>
                </c:pt>
                <c:pt idx="51">
                  <c:v>6.1238952515157585</c:v>
                </c:pt>
                <c:pt idx="52">
                  <c:v>6.119871744102042</c:v>
                </c:pt>
                <c:pt idx="53">
                  <c:v>6.1158257378170129</c:v>
                </c:pt>
                <c:pt idx="54">
                  <c:v>6.1117582575522835</c:v>
                </c:pt>
                <c:pt idx="55">
                  <c:v>6.1076703051545325</c:v>
                </c:pt>
                <c:pt idx="56">
                  <c:v>6.1035628599112401</c:v>
                </c:pt>
                <c:pt idx="57">
                  <c:v>6.0994368790841031</c:v>
                </c:pt>
                <c:pt idx="58">
                  <c:v>6.095293298486979</c:v>
                </c:pt>
                <c:pt idx="59">
                  <c:v>6.091133033105371</c:v>
                </c:pt>
                <c:pt idx="60">
                  <c:v>6.0869569777545376</c:v>
                </c:pt>
                <c:pt idx="61">
                  <c:v>6.0827660077734578</c:v>
                </c:pt>
                <c:pt idx="62">
                  <c:v>6.0785609797520284</c:v>
                </c:pt>
                <c:pt idx="63">
                  <c:v>6.0743427322889341</c:v>
                </c:pt>
                <c:pt idx="64">
                  <c:v>6.070112086777792</c:v>
                </c:pt>
                <c:pt idx="65">
                  <c:v>6.0658698482193172</c:v>
                </c:pt>
                <c:pt idx="66">
                  <c:v>6.0616168060572999</c:v>
                </c:pt>
                <c:pt idx="67">
                  <c:v>6.0573537350363846</c:v>
                </c:pt>
                <c:pt idx="68">
                  <c:v>6.0530813960797039</c:v>
                </c:pt>
                <c:pt idx="69">
                  <c:v>6.0488005371845226</c:v>
                </c:pt>
                <c:pt idx="70">
                  <c:v>6.0445118943341942</c:v>
                </c:pt>
                <c:pt idx="71">
                  <c:v>6.0402161924247872</c:v>
                </c:pt>
                <c:pt idx="72">
                  <c:v>6.0359141462048367</c:v>
                </c:pt>
                <c:pt idx="73">
                  <c:v>6.0316064612268034</c:v>
                </c:pt>
                <c:pt idx="74">
                  <c:v>6.0272938348088205</c:v>
                </c:pt>
                <c:pt idx="75">
                  <c:v>6.0229769570054739</c:v>
                </c:pt>
                <c:pt idx="76">
                  <c:v>6.0186565115863537</c:v>
                </c:pt>
                <c:pt idx="77">
                  <c:v>6.0143331770212036</c:v>
                </c:pt>
                <c:pt idx="78">
                  <c:v>6.0100076274705545</c:v>
                </c:pt>
                <c:pt idx="79">
                  <c:v>6.0056805337807253</c:v>
                </c:pt>
                <c:pt idx="80">
                  <c:v>6.0013525644821879</c:v>
                </c:pt>
                <c:pt idx="81">
                  <c:v>5.9970243867902191</c:v>
                </c:pt>
                <c:pt idx="82">
                  <c:v>5.9926966676068725</c:v>
                </c:pt>
                <c:pt idx="83">
                  <c:v>5.9883700745232495</c:v>
                </c:pt>
                <c:pt idx="84">
                  <c:v>5.9840452768211039</c:v>
                </c:pt>
                <c:pt idx="85">
                  <c:v>5.9797229464727462</c:v>
                </c:pt>
                <c:pt idx="86">
                  <c:v>5.9754037591382723</c:v>
                </c:pt>
                <c:pt idx="87">
                  <c:v>5.9710883951590477</c:v>
                </c:pt>
                <c:pt idx="88">
                  <c:v>5.9667775405464187</c:v>
                </c:pt>
                <c:pt idx="89">
                  <c:v>5.9624718879645213</c:v>
                </c:pt>
                <c:pt idx="90">
                  <c:v>5.9581721377060495</c:v>
                </c:pt>
                <c:pt idx="91">
                  <c:v>5.9538789986598157</c:v>
                </c:pt>
                <c:pt idx="92">
                  <c:v>5.9495931892687777</c:v>
                </c:pt>
                <c:pt idx="93">
                  <c:v>5.9453154384772802</c:v>
                </c:pt>
                <c:pt idx="94">
                  <c:v>5.9410464866660586</c:v>
                </c:pt>
                <c:pt idx="95">
                  <c:v>5.9367870865735481</c:v>
                </c:pt>
                <c:pt idx="96">
                  <c:v>5.9325380042019189</c:v>
                </c:pt>
                <c:pt idx="97">
                  <c:v>5.9283000197061728</c:v>
                </c:pt>
                <c:pt idx="98">
                  <c:v>5.9240739282645523</c:v>
                </c:pt>
                <c:pt idx="99">
                  <c:v>5.9198605409283811</c:v>
                </c:pt>
                <c:pt idx="100">
                  <c:v>5.915660685449347</c:v>
                </c:pt>
                <c:pt idx="101">
                  <c:v>5.9114752070821774</c:v>
                </c:pt>
                <c:pt idx="102">
                  <c:v>5.9073049693604638</c:v>
                </c:pt>
                <c:pt idx="103">
                  <c:v>5.903150854843294</c:v>
                </c:pt>
                <c:pt idx="104">
                  <c:v>5.8990137658303148</c:v>
                </c:pt>
                <c:pt idx="105">
                  <c:v>5.8948946250425491</c:v>
                </c:pt>
                <c:pt idx="106">
                  <c:v>5.8907943762663662</c:v>
                </c:pt>
                <c:pt idx="107">
                  <c:v>5.8867139849577317</c:v>
                </c:pt>
                <c:pt idx="108">
                  <c:v>5.8826544388038027</c:v>
                </c:pt>
                <c:pt idx="109">
                  <c:v>5.8786167482388514</c:v>
                </c:pt>
                <c:pt idx="110">
                  <c:v>5.8746019469112873</c:v>
                </c:pt>
                <c:pt idx="111">
                  <c:v>5.8706110920985743</c:v>
                </c:pt>
                <c:pt idx="112">
                  <c:v>5.8666452650666132</c:v>
                </c:pt>
                <c:pt idx="113">
                  <c:v>5.8627055713701441</c:v>
                </c:pt>
                <c:pt idx="114">
                  <c:v>5.8587931410906595</c:v>
                </c:pt>
                <c:pt idx="115">
                  <c:v>5.8549091290081678</c:v>
                </c:pt>
                <c:pt idx="116">
                  <c:v>5.8510547147031922</c:v>
                </c:pt>
                <c:pt idx="117">
                  <c:v>5.8472311025852806</c:v>
                </c:pt>
                <c:pt idx="118">
                  <c:v>5.8434395218443473</c:v>
                </c:pt>
                <c:pt idx="119">
                  <c:v>5.83968122632111</c:v>
                </c:pt>
                <c:pt idx="120">
                  <c:v>5.8359574942929582</c:v>
                </c:pt>
                <c:pt idx="121">
                  <c:v>5.83226962817161</c:v>
                </c:pt>
                <c:pt idx="122">
                  <c:v>5.8286189541090199</c:v>
                </c:pt>
                <c:pt idx="123">
                  <c:v>5.8250068215080821</c:v>
                </c:pt>
                <c:pt idx="124">
                  <c:v>5.8214346024348016</c:v>
                </c:pt>
                <c:pt idx="125">
                  <c:v>5.8179036909288095</c:v>
                </c:pt>
                <c:pt idx="126">
                  <c:v>5.8144155022092825</c:v>
                </c:pt>
                <c:pt idx="127">
                  <c:v>5.8109714717735317</c:v>
                </c:pt>
                <c:pt idx="128">
                  <c:v>5.8075730543858652</c:v>
                </c:pt>
                <c:pt idx="129">
                  <c:v>5.8042217229545763</c:v>
                </c:pt>
                <c:pt idx="130">
                  <c:v>5.800918967295325</c:v>
                </c:pt>
                <c:pt idx="131">
                  <c:v>5.7976662927794935</c:v>
                </c:pt>
                <c:pt idx="132">
                  <c:v>5.794465218866601</c:v>
                </c:pt>
                <c:pt idx="133">
                  <c:v>5.7913172775202986</c:v>
                </c:pt>
                <c:pt idx="134">
                  <c:v>5.7882240115079497</c:v>
                </c:pt>
                <c:pt idx="135">
                  <c:v>5.7851869725844098</c:v>
                </c:pt>
                <c:pt idx="136">
                  <c:v>5.782207719561141</c:v>
                </c:pt>
                <c:pt idx="137">
                  <c:v>5.7792878162624381</c:v>
                </c:pt>
                <c:pt idx="138">
                  <c:v>5.7764288293712225</c:v>
                </c:pt>
                <c:pt idx="139">
                  <c:v>5.7736323261674496</c:v>
                </c:pt>
                <c:pt idx="140">
                  <c:v>5.7708998721630032</c:v>
                </c:pt>
                <c:pt idx="141">
                  <c:v>5.768233028637523</c:v>
                </c:pt>
                <c:pt idx="142">
                  <c:v>5.7656333500805141</c:v>
                </c:pt>
                <c:pt idx="143">
                  <c:v>5.7631023815456803</c:v>
                </c:pt>
                <c:pt idx="144">
                  <c:v>5.7606416559242719</c:v>
                </c:pt>
                <c:pt idx="145">
                  <c:v>5.7582526911449712</c:v>
                </c:pt>
                <c:pt idx="146">
                  <c:v>5.7559369873085462</c:v>
                </c:pt>
                <c:pt idx="147">
                  <c:v>5.7536960237662811</c:v>
                </c:pt>
                <c:pt idx="148">
                  <c:v>5.7515312561518233</c:v>
                </c:pt>
                <c:pt idx="149">
                  <c:v>5.7494441133768417</c:v>
                </c:pt>
                <c:pt idx="150">
                  <c:v>5.7474359946014468</c:v>
                </c:pt>
                <c:pt idx="151">
                  <c:v>5.745508266190936</c:v>
                </c:pt>
                <c:pt idx="152">
                  <c:v>5.7436622586709758</c:v>
                </c:pt>
                <c:pt idx="153">
                  <c:v>5.7418992636937345</c:v>
                </c:pt>
                <c:pt idx="154">
                  <c:v>5.7402205310279593</c:v>
                </c:pt>
                <c:pt idx="155">
                  <c:v>5.7386272655862145</c:v>
                </c:pt>
                <c:pt idx="156">
                  <c:v>5.7371206245027908</c:v>
                </c:pt>
                <c:pt idx="157">
                  <c:v>5.735701714275927</c:v>
                </c:pt>
                <c:pt idx="158">
                  <c:v>5.7343715879879991</c:v>
                </c:pt>
                <c:pt idx="159">
                  <c:v>5.7331312426173175</c:v>
                </c:pt>
                <c:pt idx="160">
                  <c:v>5.7319816164549717</c:v>
                </c:pt>
                <c:pt idx="161">
                  <c:v>5.730923586639955</c:v>
                </c:pt>
                <c:pt idx="162">
                  <c:v>5.7299579668253751</c:v>
                </c:pt>
                <c:pt idx="163">
                  <c:v>5.7290855049881246</c:v>
                </c:pt>
                <c:pt idx="164">
                  <c:v>5.7283068813937748</c:v>
                </c:pt>
                <c:pt idx="165">
                  <c:v>5.7276227067278063</c:v>
                </c:pt>
                <c:pt idx="166">
                  <c:v>5.727033520403487</c:v>
                </c:pt>
                <c:pt idx="167">
                  <c:v>5.7265397890558436</c:v>
                </c:pt>
                <c:pt idx="168">
                  <c:v>5.7261419052302305</c:v>
                </c:pt>
                <c:pt idx="169">
                  <c:v>5.7258401862729462</c:v>
                </c:pt>
                <c:pt idx="170">
                  <c:v>5.7256348734302502</c:v>
                </c:pt>
                <c:pt idx="171">
                  <c:v>5.7255261311609775</c:v>
                </c:pt>
                <c:pt idx="172">
                  <c:v>5.7255140466667269</c:v>
                </c:pt>
                <c:pt idx="173">
                  <c:v>5.7255986296423478</c:v>
                </c:pt>
                <c:pt idx="174">
                  <c:v>5.7257798122481853</c:v>
                </c:pt>
                <c:pt idx="175">
                  <c:v>5.7260574493042364</c:v>
                </c:pt>
                <c:pt idx="176">
                  <c:v>5.7264313187050959</c:v>
                </c:pt>
                <c:pt idx="177">
                  <c:v>5.726901122053274</c:v>
                </c:pt>
                <c:pt idx="178">
                  <c:v>5.7274664855072128</c:v>
                </c:pt>
                <c:pt idx="179">
                  <c:v>5.7281269608391332</c:v>
                </c:pt>
                <c:pt idx="180">
                  <c:v>5.7288820266965983</c:v>
                </c:pt>
                <c:pt idx="181">
                  <c:v>5.7297310900606631</c:v>
                </c:pt>
                <c:pt idx="182">
                  <c:v>5.7306734878923073</c:v>
                </c:pt>
                <c:pt idx="183">
                  <c:v>5.7317084889579961</c:v>
                </c:pt>
                <c:pt idx="184">
                  <c:v>5.7328352958241977</c:v>
                </c:pt>
                <c:pt idx="185">
                  <c:v>5.7340530470099917</c:v>
                </c:pt>
                <c:pt idx="186">
                  <c:v>5.7353608192861376</c:v>
                </c:pt>
                <c:pt idx="187">
                  <c:v>5.7367576301083538</c:v>
                </c:pt>
                <c:pt idx="188">
                  <c:v>5.7382424401721401</c:v>
                </c:pt>
                <c:pt idx="189">
                  <c:v>5.7398141560759628</c:v>
                </c:pt>
                <c:pt idx="190">
                  <c:v>5.7414716330794366</c:v>
                </c:pt>
                <c:pt idx="191">
                  <c:v>5.7432136779428955</c:v>
                </c:pt>
                <c:pt idx="192">
                  <c:v>5.7450390518346985</c:v>
                </c:pt>
                <c:pt idx="193">
                  <c:v>5.7469464732925672</c:v>
                </c:pt>
                <c:pt idx="194">
                  <c:v>5.7489346212254979</c:v>
                </c:pt>
                <c:pt idx="195">
                  <c:v>5.7510021379428604</c:v>
                </c:pt>
                <c:pt idx="196">
                  <c:v>5.7531476321976687</c:v>
                </c:pt>
                <c:pt idx="197">
                  <c:v>5.7553696822313887</c:v>
                </c:pt>
                <c:pt idx="198">
                  <c:v>5.7576668388080252</c:v>
                </c:pt>
                <c:pt idx="199">
                  <c:v>5.7600376282258505</c:v>
                </c:pt>
                <c:pt idx="200">
                  <c:v>5.7624805552955776</c:v>
                </c:pt>
                <c:pt idx="201">
                  <c:v>5.7649941062745196</c:v>
                </c:pt>
                <c:pt idx="202">
                  <c:v>5.7675767517468639</c:v>
                </c:pt>
                <c:pt idx="203">
                  <c:v>5.7702269494408931</c:v>
                </c:pt>
                <c:pt idx="204">
                  <c:v>5.7729431469747379</c:v>
                </c:pt>
                <c:pt idx="205">
                  <c:v>5.7757237845229481</c:v>
                </c:pt>
                <c:pt idx="206">
                  <c:v>5.7785672973969318</c:v>
                </c:pt>
                <c:pt idx="207">
                  <c:v>5.7814721185330695</c:v>
                </c:pt>
                <c:pt idx="208">
                  <c:v>5.7844366808830419</c:v>
                </c:pt>
                <c:pt idx="209">
                  <c:v>5.7874594197016886</c:v>
                </c:pt>
                <c:pt idx="210">
                  <c:v>5.7905387747283754</c:v>
                </c:pt>
                <c:pt idx="211">
                  <c:v>5.7936731922586313</c:v>
                </c:pt>
                <c:pt idx="212">
                  <c:v>5.7968611271034405</c:v>
                </c:pt>
                <c:pt idx="213">
                  <c:v>5.8001010444342764</c:v>
                </c:pt>
                <c:pt idx="214">
                  <c:v>5.8033914215125337</c:v>
                </c:pt>
                <c:pt idx="215">
                  <c:v>5.8067307493026652</c:v>
                </c:pt>
                <c:pt idx="216">
                  <c:v>5.8101175339688487</c:v>
                </c:pt>
                <c:pt idx="217">
                  <c:v>5.8135502982555414</c:v>
                </c:pt>
                <c:pt idx="218">
                  <c:v>5.8170275827527469</c:v>
                </c:pt>
                <c:pt idx="219">
                  <c:v>5.8205479470472756</c:v>
                </c:pt>
                <c:pt idx="220">
                  <c:v>5.8241099707616639</c:v>
                </c:pt>
                <c:pt idx="221">
                  <c:v>5.8277122544827984</c:v>
                </c:pt>
                <c:pt idx="222">
                  <c:v>5.8313534205825892</c:v>
                </c:pt>
                <c:pt idx="223">
                  <c:v>5.8350321139333428</c:v>
                </c:pt>
                <c:pt idx="224">
                  <c:v>5.8387470025207016</c:v>
                </c:pt>
                <c:pt idx="225">
                  <c:v>5.8424967779572796</c:v>
                </c:pt>
                <c:pt idx="226">
                  <c:v>5.8462801559002378</c:v>
                </c:pt>
                <c:pt idx="227">
                  <c:v>5.8500958763762316</c:v>
                </c:pt>
                <c:pt idx="228">
                  <c:v>5.8539427040172622</c:v>
                </c:pt>
                <c:pt idx="229">
                  <c:v>5.8578194282110267</c:v>
                </c:pt>
                <c:pt idx="230">
                  <c:v>5.8617248631694672</c:v>
                </c:pt>
                <c:pt idx="231">
                  <c:v>5.865657847919203</c:v>
                </c:pt>
                <c:pt idx="232">
                  <c:v>5.8696172462175555</c:v>
                </c:pt>
                <c:pt idx="233">
                  <c:v>5.8736019463978746</c:v>
                </c:pt>
                <c:pt idx="234">
                  <c:v>5.8776108611478346</c:v>
                </c:pt>
                <c:pt idx="235">
                  <c:v>5.8816429272243136</c:v>
                </c:pt>
                <c:pt idx="236">
                  <c:v>5.8856971051084201</c:v>
                </c:pt>
                <c:pt idx="237">
                  <c:v>5.8897723786041576</c:v>
                </c:pt>
                <c:pt idx="238">
                  <c:v>5.8938677543840976</c:v>
                </c:pt>
                <c:pt idx="239">
                  <c:v>5.8979822614853985</c:v>
                </c:pt>
                <c:pt idx="240">
                  <c:v>5.9021149507593273</c:v>
                </c:pt>
                <c:pt idx="241">
                  <c:v>5.9062648942773883</c:v>
                </c:pt>
                <c:pt idx="242">
                  <c:v>5.9104311846970301</c:v>
                </c:pt>
                <c:pt idx="243">
                  <c:v>5.9146129345897673</c:v>
                </c:pt>
                <c:pt idx="244">
                  <c:v>5.918809275734441</c:v>
                </c:pt>
                <c:pt idx="245">
                  <c:v>5.9230193583782436</c:v>
                </c:pt>
                <c:pt idx="246">
                  <c:v>5.9272423504679654</c:v>
                </c:pt>
                <c:pt idx="247">
                  <c:v>5.9314774368538252</c:v>
                </c:pt>
                <c:pt idx="248">
                  <c:v>5.9357238184681362</c:v>
                </c:pt>
                <c:pt idx="249">
                  <c:v>5.939980711480918</c:v>
                </c:pt>
                <c:pt idx="250">
                  <c:v>5.9442473464344454</c:v>
                </c:pt>
                <c:pt idx="251">
                  <c:v>5.9485229673586559</c:v>
                </c:pt>
                <c:pt idx="252">
                  <c:v>5.9528068308691964</c:v>
                </c:pt>
                <c:pt idx="253">
                  <c:v>5.9570982052497694</c:v>
                </c:pt>
                <c:pt idx="254">
                  <c:v>5.9613963695204228</c:v>
                </c:pt>
                <c:pt idx="255">
                  <c:v>5.9657006124932233</c:v>
                </c:pt>
                <c:pt idx="256">
                  <c:v>5.9700102318168051</c:v>
                </c:pt>
                <c:pt idx="257">
                  <c:v>5.9743245330110737</c:v>
                </c:pt>
                <c:pt idx="258">
                  <c:v>5.9786428284933653</c:v>
                </c:pt>
                <c:pt idx="259">
                  <c:v>5.9829644365973031</c:v>
                </c:pt>
                <c:pt idx="260">
                  <c:v>5.9872886805854426</c:v>
                </c:pt>
                <c:pt idx="261">
                  <c:v>5.9916148876568895</c:v>
                </c:pt>
                <c:pt idx="262">
                  <c:v>5.9959423879509046</c:v>
                </c:pt>
                <c:pt idx="263">
                  <c:v>6.0002705135475747</c:v>
                </c:pt>
                <c:pt idx="264">
                  <c:v>6.0045985974665363</c:v>
                </c:pt>
                <c:pt idx="265">
                  <c:v>6.0089259726647839</c:v>
                </c:pt>
                <c:pt idx="266">
                  <c:v>6.013251971034526</c:v>
                </c:pt>
                <c:pt idx="267">
                  <c:v>6.0175759224021057</c:v>
                </c:pt>
                <c:pt idx="268">
                  <c:v>6.0218971535289771</c:v>
                </c:pt>
                <c:pt idx="269">
                  <c:v>6.0262149871157566</c:v>
                </c:pt>
                <c:pt idx="270">
                  <c:v>6.0305287408104125</c:v>
                </c:pt>
                <c:pt idx="271">
                  <c:v>6.034837726221622</c:v>
                </c:pt>
                <c:pt idx="272">
                  <c:v>6.0391412479384714</c:v>
                </c:pt>
                <c:pt idx="273">
                  <c:v>6.0434386025576243</c:v>
                </c:pt>
                <c:pt idx="274">
                  <c:v>6.0477290777191852</c:v>
                </c:pt>
                <c:pt idx="275">
                  <c:v>6.0520119511525534</c:v>
                </c:pt>
                <c:pt idx="276">
                  <c:v>6.0562864897336066</c:v>
                </c:pt>
                <c:pt idx="277">
                  <c:v>6.0605519485546511</c:v>
                </c:pt>
                <c:pt idx="278">
                  <c:v>6.064807570008659</c:v>
                </c:pt>
                <c:pt idx="279">
                  <c:v>6.0690525828893707</c:v>
                </c:pt>
                <c:pt idx="280">
                  <c:v>6.0732862015090081</c:v>
                </c:pt>
                <c:pt idx="281">
                  <c:v>6.0775076248353486</c:v>
                </c:pt>
                <c:pt idx="282">
                  <c:v>6.0817160356501043</c:v>
                </c:pt>
                <c:pt idx="283">
                  <c:v>6.0859105997306147</c:v>
                </c:pt>
                <c:pt idx="284">
                  <c:v>6.0900904650569831</c:v>
                </c:pt>
                <c:pt idx="285">
                  <c:v>6.0942547610469102</c:v>
                </c:pt>
                <c:pt idx="286">
                  <c:v>6.0984025978206127</c:v>
                </c:pt>
                <c:pt idx="287">
                  <c:v>6.1025330654982941</c:v>
                </c:pt>
                <c:pt idx="288">
                  <c:v>6.1066452335328192</c:v>
                </c:pt>
                <c:pt idx="289">
                  <c:v>6.110738150080306</c:v>
                </c:pt>
                <c:pt idx="290">
                  <c:v>6.1148108414115168</c:v>
                </c:pt>
                <c:pt idx="291">
                  <c:v>6.1188623113670353</c:v>
                </c:pt>
                <c:pt idx="292">
                  <c:v>6.1228915408592846</c:v>
                </c:pt>
                <c:pt idx="293">
                  <c:v>6.1268974874246753</c:v>
                </c:pt>
                <c:pt idx="294">
                  <c:v>6.1308790848291075</c:v>
                </c:pt>
                <c:pt idx="295">
                  <c:v>6.134835242730289</c:v>
                </c:pt>
                <c:pt idx="296">
                  <c:v>6.1387648464003517</c:v>
                </c:pt>
                <c:pt idx="297">
                  <c:v>6.142666756512325</c:v>
                </c:pt>
                <c:pt idx="298">
                  <c:v>6.146539808994091</c:v>
                </c:pt>
                <c:pt idx="299">
                  <c:v>6.1503828149535229</c:v>
                </c:pt>
                <c:pt idx="300">
                  <c:v>6.1541945606784658</c:v>
                </c:pt>
                <c:pt idx="301">
                  <c:v>6.1579738077153081</c:v>
                </c:pt>
                <c:pt idx="302">
                  <c:v>6.1617192930298295</c:v>
                </c:pt>
                <c:pt idx="303">
                  <c:v>6.1654297292539848</c:v>
                </c:pt>
                <c:pt idx="304">
                  <c:v>6.1691038050222433</c:v>
                </c:pt>
                <c:pt idx="305">
                  <c:v>6.1727401854009871</c:v>
                </c:pt>
                <c:pt idx="306">
                  <c:v>6.1763375124143796</c:v>
                </c:pt>
                <c:pt idx="307">
                  <c:v>6.1798944056699492</c:v>
                </c:pt>
                <c:pt idx="308">
                  <c:v>6.1834094630869654</c:v>
                </c:pt>
                <c:pt idx="309">
                  <c:v>6.1868812617304787</c:v>
                </c:pt>
                <c:pt idx="310">
                  <c:v>6.1903083587535956</c:v>
                </c:pt>
                <c:pt idx="311">
                  <c:v>6.1936892924503422</c:v>
                </c:pt>
                <c:pt idx="312">
                  <c:v>6.1970225834210932</c:v>
                </c:pt>
                <c:pt idx="313">
                  <c:v>6.2003067358521866</c:v>
                </c:pt>
                <c:pt idx="314">
                  <c:v>6.203540238910958</c:v>
                </c:pt>
                <c:pt idx="315">
                  <c:v>6.2067215682569543</c:v>
                </c:pt>
                <c:pt idx="316">
                  <c:v>6.2098491876696267</c:v>
                </c:pt>
                <c:pt idx="317">
                  <c:v>6.2129215507922719</c:v>
                </c:pt>
                <c:pt idx="318">
                  <c:v>6.2159371029914245</c:v>
                </c:pt>
                <c:pt idx="319">
                  <c:v>6.2188942833303154</c:v>
                </c:pt>
                <c:pt idx="320">
                  <c:v>6.2217915266543713</c:v>
                </c:pt>
                <c:pt idx="321">
                  <c:v>6.2246272657861068</c:v>
                </c:pt>
                <c:pt idx="322">
                  <c:v>6.2273999338260033</c:v>
                </c:pt>
                <c:pt idx="323">
                  <c:v>6.2301079665553454</c:v>
                </c:pt>
                <c:pt idx="324">
                  <c:v>6.23274980493618</c:v>
                </c:pt>
                <c:pt idx="325">
                  <c:v>6.23532389770289</c:v>
                </c:pt>
                <c:pt idx="326">
                  <c:v>6.2378287040390425</c:v>
                </c:pt>
                <c:pt idx="327">
                  <c:v>6.2402626963325218</c:v>
                </c:pt>
                <c:pt idx="328">
                  <c:v>6.2426243630011049</c:v>
                </c:pt>
                <c:pt idx="329">
                  <c:v>6.2449122113799911</c:v>
                </c:pt>
                <c:pt idx="330">
                  <c:v>6.2471247706620021</c:v>
                </c:pt>
                <c:pt idx="331">
                  <c:v>6.2492605948805586</c:v>
                </c:pt>
                <c:pt idx="332">
                  <c:v>6.251318265924807</c:v>
                </c:pt>
                <c:pt idx="333">
                  <c:v>6.2532963965757062</c:v>
                </c:pt>
                <c:pt idx="334">
                  <c:v>6.2551936335513156</c:v>
                </c:pt>
                <c:pt idx="335">
                  <c:v>6.2570086605490003</c:v>
                </c:pt>
                <c:pt idx="336">
                  <c:v>6.2587402012718503</c:v>
                </c:pt>
                <c:pt idx="337">
                  <c:v>6.2603870224262455</c:v>
                </c:pt>
                <c:pt idx="338">
                  <c:v>6.2619479366771964</c:v>
                </c:pt>
                <c:pt idx="339">
                  <c:v>6.2634218055479227</c:v>
                </c:pt>
                <c:pt idx="340">
                  <c:v>6.2648075422500025</c:v>
                </c:pt>
                <c:pt idx="341">
                  <c:v>6.2661041144304104</c:v>
                </c:pt>
                <c:pt idx="342">
                  <c:v>6.2673105468218999</c:v>
                </c:pt>
                <c:pt idx="343">
                  <c:v>6.2684259237833286</c:v>
                </c:pt>
                <c:pt idx="344">
                  <c:v>6.2694493917168614</c:v>
                </c:pt>
                <c:pt idx="345">
                  <c:v>6.2703801613493768</c:v>
                </c:pt>
                <c:pt idx="346">
                  <c:v>6.2712175098659388</c:v>
                </c:pt>
                <c:pt idx="347">
                  <c:v>6.2719607828837862</c:v>
                </c:pt>
                <c:pt idx="348">
                  <c:v>6.2726093962560237</c:v>
                </c:pt>
                <c:pt idx="349">
                  <c:v>6.2731628376950095</c:v>
                </c:pt>
                <c:pt idx="350">
                  <c:v>6.2736206682063616</c:v>
                </c:pt>
                <c:pt idx="351">
                  <c:v>6.273982523325432</c:v>
                </c:pt>
                <c:pt idx="352">
                  <c:v>6.2742481141492279</c:v>
                </c:pt>
                <c:pt idx="353">
                  <c:v>6.2744172281578274</c:v>
                </c:pt>
                <c:pt idx="354">
                  <c:v>6.2744897298205924</c:v>
                </c:pt>
                <c:pt idx="355">
                  <c:v>6.2744655609836109</c:v>
                </c:pt>
                <c:pt idx="356">
                  <c:v>6.2743447410361428</c:v>
                </c:pt>
                <c:pt idx="357">
                  <c:v>6.2741273668551276</c:v>
                </c:pt>
                <c:pt idx="358">
                  <c:v>6.2738136125280128</c:v>
                </c:pt>
                <c:pt idx="359">
                  <c:v>6.2734037288555786</c:v>
                </c:pt>
                <c:pt idx="360">
                  <c:v>6.2728980426376051</c:v>
                </c:pt>
                <c:pt idx="361">
                  <c:v>6.272296955745535</c:v>
                </c:pt>
                <c:pt idx="362">
                  <c:v>6.2716009439874645</c:v>
                </c:pt>
                <c:pt idx="363">
                  <c:v>6.2708105557719467</c:v>
                </c:pt>
                <c:pt idx="364">
                  <c:v>6.2699264105782317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0A-4A41-96A8-A3CFEE870DF1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Planilha1!$AA$6:$AA$370</c:f>
              <c:numCache>
                <c:formatCode>General</c:formatCode>
                <c:ptCount val="365"/>
                <c:pt idx="0">
                  <c:v>6.1791735474495519</c:v>
                </c:pt>
                <c:pt idx="1">
                  <c:v>6.1784457038608913</c:v>
                </c:pt>
                <c:pt idx="2">
                  <c:v>6.1776570409284179</c:v>
                </c:pt>
                <c:pt idx="3">
                  <c:v>6.1768081563552784</c:v>
                </c:pt>
                <c:pt idx="4">
                  <c:v>6.1758996878667682</c:v>
                </c:pt>
                <c:pt idx="5">
                  <c:v>6.1749323115494485</c:v>
                </c:pt>
                <c:pt idx="6">
                  <c:v>6.1739067401151324</c:v>
                </c:pt>
                <c:pt idx="7">
                  <c:v>6.1728237210984904</c:v>
                </c:pt>
                <c:pt idx="8">
                  <c:v>6.1716840349972362</c:v>
                </c:pt>
                <c:pt idx="9">
                  <c:v>6.1704884933638811</c:v>
                </c:pt>
                <c:pt idx="10">
                  <c:v>6.1692379368580834</c:v>
                </c:pt>
                <c:pt idx="11">
                  <c:v>6.1679332332685828</c:v>
                </c:pt>
                <c:pt idx="12">
                  <c:v>6.1665752755135417</c:v>
                </c:pt>
                <c:pt idx="13">
                  <c:v>6.1651649796280363</c:v>
                </c:pt>
                <c:pt idx="14">
                  <c:v>6.1637032827471021</c:v>
                </c:pt>
                <c:pt idx="15">
                  <c:v>6.1621911410925518</c:v>
                </c:pt>
                <c:pt idx="16">
                  <c:v>6.1606295279714436</c:v>
                </c:pt>
                <c:pt idx="17">
                  <c:v>6.1590194317936762</c:v>
                </c:pt>
                <c:pt idx="18">
                  <c:v>6.1573618541158499</c:v>
                </c:pt>
                <c:pt idx="19">
                  <c:v>6.1556578077180708</c:v>
                </c:pt>
                <c:pt idx="20">
                  <c:v>6.1539083147199456</c:v>
                </c:pt>
                <c:pt idx="21">
                  <c:v>6.1521144047415293</c:v>
                </c:pt>
                <c:pt idx="22">
                  <c:v>6.1502771131145328</c:v>
                </c:pt>
                <c:pt idx="23">
                  <c:v>6.1483974791485796</c:v>
                </c:pt>
                <c:pt idx="24">
                  <c:v>6.1464765444568199</c:v>
                </c:pt>
                <c:pt idx="25">
                  <c:v>6.1445153513447233</c:v>
                </c:pt>
                <c:pt idx="26">
                  <c:v>6.1425149412653477</c:v>
                </c:pt>
                <c:pt idx="27">
                  <c:v>6.1404763533439564</c:v>
                </c:pt>
                <c:pt idx="28">
                  <c:v>6.1384006229743067</c:v>
                </c:pt>
                <c:pt idx="29">
                  <c:v>6.1362887804885542</c:v>
                </c:pt>
                <c:pt idx="30">
                  <c:v>6.1341418499022202</c:v>
                </c:pt>
                <c:pt idx="31">
                  <c:v>6.1319608477352716</c:v>
                </c:pt>
                <c:pt idx="32">
                  <c:v>6.1297467819099731</c:v>
                </c:pt>
                <c:pt idx="33">
                  <c:v>6.1275006507257581</c:v>
                </c:pt>
                <c:pt idx="34">
                  <c:v>6.1252234419110643</c:v>
                </c:pt>
                <c:pt idx="35">
                  <c:v>6.1229161317517047</c:v>
                </c:pt>
                <c:pt idx="36">
                  <c:v>6.1205796842950644</c:v>
                </c:pt>
                <c:pt idx="37">
                  <c:v>6.1182150506291526</c:v>
                </c:pt>
                <c:pt idx="38">
                  <c:v>6.1158231682352566</c:v>
                </c:pt>
                <c:pt idx="39">
                  <c:v>6.1134049604127387</c:v>
                </c:pt>
                <c:pt idx="40">
                  <c:v>6.1109613357743306</c:v>
                </c:pt>
                <c:pt idx="41">
                  <c:v>6.1084931878100823</c:v>
                </c:pt>
                <c:pt idx="42">
                  <c:v>6.106001394517981</c:v>
                </c:pt>
                <c:pt idx="43">
                  <c:v>6.1034868180991468</c:v>
                </c:pt>
                <c:pt idx="44">
                  <c:v>6.1009503047153677</c:v>
                </c:pt>
                <c:pt idx="45">
                  <c:v>6.0983926843066998</c:v>
                </c:pt>
                <c:pt idx="46">
                  <c:v>6.0958147704667685</c:v>
                </c:pt>
                <c:pt idx="47">
                  <c:v>6.0932173603733464</c:v>
                </c:pt>
                <c:pt idx="48">
                  <c:v>6.0906012347717908</c:v>
                </c:pt>
                <c:pt idx="49">
                  <c:v>6.0879671580088832</c:v>
                </c:pt>
                <c:pt idx="50">
                  <c:v>6.0853158781146384</c:v>
                </c:pt>
                <c:pt idx="51">
                  <c:v>6.0826481269296186</c:v>
                </c:pt>
                <c:pt idx="52">
                  <c:v>6.079964620275387</c:v>
                </c:pt>
                <c:pt idx="53">
                  <c:v>6.0772660581656952</c:v>
                </c:pt>
                <c:pt idx="54">
                  <c:v>6.0745531250561129</c:v>
                </c:pt>
                <c:pt idx="55">
                  <c:v>6.0718264901297854</c:v>
                </c:pt>
                <c:pt idx="56">
                  <c:v>6.0690868076171709</c:v>
                </c:pt>
                <c:pt idx="57">
                  <c:v>6.0663347171475488</c:v>
                </c:pt>
                <c:pt idx="58">
                  <c:v>6.0635708441302718</c:v>
                </c:pt>
                <c:pt idx="59">
                  <c:v>6.0607958001637554</c:v>
                </c:pt>
                <c:pt idx="60">
                  <c:v>6.0580101834702473</c:v>
                </c:pt>
                <c:pt idx="61">
                  <c:v>6.0552145793546091</c:v>
                </c:pt>
                <c:pt idx="62">
                  <c:v>6.052409560685275</c:v>
                </c:pt>
                <c:pt idx="63">
                  <c:v>6.0495956883957431</c:v>
                </c:pt>
                <c:pt idx="64">
                  <c:v>6.0467735120050135</c:v>
                </c:pt>
                <c:pt idx="65">
                  <c:v>6.0439435701554149</c:v>
                </c:pt>
                <c:pt idx="66">
                  <c:v>6.0411063911664193</c:v>
                </c:pt>
                <c:pt idx="67">
                  <c:v>6.0382624936030416</c:v>
                </c:pt>
                <c:pt idx="68">
                  <c:v>6.0354123868575726</c:v>
                </c:pt>
                <c:pt idx="69">
                  <c:v>6.0325565717433944</c:v>
                </c:pt>
                <c:pt idx="70">
                  <c:v>6.0296955410997288</c:v>
                </c:pt>
                <c:pt idx="71">
                  <c:v>6.0268297804062634</c:v>
                </c:pt>
                <c:pt idx="72">
                  <c:v>6.0239597684065762</c:v>
                </c:pt>
                <c:pt idx="73">
                  <c:v>6.0210859777394345</c:v>
                </c:pt>
                <c:pt idx="74">
                  <c:v>6.0182088755770176</c:v>
                </c:pt>
                <c:pt idx="75">
                  <c:v>6.0153289242692081</c:v>
                </c:pt>
                <c:pt idx="76">
                  <c:v>6.012446581993121</c:v>
                </c:pt>
                <c:pt idx="77">
                  <c:v>6.0095623034070655</c:v>
                </c:pt>
                <c:pt idx="78">
                  <c:v>6.0066765403082014</c:v>
                </c:pt>
                <c:pt idx="79">
                  <c:v>6.0037897422931499</c:v>
                </c:pt>
                <c:pt idx="80">
                  <c:v>6.000902357420844</c:v>
                </c:pt>
                <c:pt idx="81">
                  <c:v>5.9980148328769509</c:v>
                </c:pt>
                <c:pt idx="82">
                  <c:v>5.9951276156391531</c:v>
                </c:pt>
                <c:pt idx="83">
                  <c:v>5.9922411531426594</c:v>
                </c:pt>
                <c:pt idx="84">
                  <c:v>5.9893558939452456</c:v>
                </c:pt>
                <c:pt idx="85">
                  <c:v>5.986472288391159</c:v>
                </c:pt>
                <c:pt idx="86">
                  <c:v>5.9835907892732223</c:v>
                </c:pt>
                <c:pt idx="87">
                  <c:v>5.9807118524924086</c:v>
                </c:pt>
                <c:pt idx="88">
                  <c:v>5.9778359377142047</c:v>
                </c:pt>
                <c:pt idx="89">
                  <c:v>5.9749635090210029</c:v>
                </c:pt>
                <c:pt idx="90">
                  <c:v>5.9720950355597573</c:v>
                </c:pt>
                <c:pt idx="91">
                  <c:v>5.9692309921840989</c:v>
                </c:pt>
                <c:pt idx="92">
                  <c:v>5.9663718600900681</c:v>
                </c:pt>
                <c:pt idx="93">
                  <c:v>5.9635181274445737</c:v>
                </c:pt>
                <c:pt idx="94">
                  <c:v>5.9606702900056279</c:v>
                </c:pt>
                <c:pt idx="95">
                  <c:v>5.9578288517333959</c:v>
                </c:pt>
                <c:pt idx="96">
                  <c:v>5.9549943253909747</c:v>
                </c:pt>
                <c:pt idx="97">
                  <c:v>5.9521672331338227</c:v>
                </c:pt>
                <c:pt idx="98">
                  <c:v>5.9493481070866228</c:v>
                </c:pt>
                <c:pt idx="99">
                  <c:v>5.9465374899063859</c:v>
                </c:pt>
                <c:pt idx="100">
                  <c:v>5.9437359353304231</c:v>
                </c:pt>
                <c:pt idx="101">
                  <c:v>5.9409440087078291</c:v>
                </c:pt>
                <c:pt idx="102">
                  <c:v>5.9381622875129958</c:v>
                </c:pt>
                <c:pt idx="103">
                  <c:v>5.9353913618395975</c:v>
                </c:pt>
                <c:pt idx="104">
                  <c:v>5.9326318348734324</c:v>
                </c:pt>
                <c:pt idx="105">
                  <c:v>5.9298843233424101</c:v>
                </c:pt>
                <c:pt idx="106">
                  <c:v>5.9271494579418746</c:v>
                </c:pt>
                <c:pt idx="107">
                  <c:v>5.924427883733423</c:v>
                </c:pt>
                <c:pt idx="108">
                  <c:v>5.9217202605152348</c:v>
                </c:pt>
                <c:pt idx="109">
                  <c:v>5.9190272631619321</c:v>
                </c:pt>
                <c:pt idx="110">
                  <c:v>5.9163495819317991</c:v>
                </c:pt>
                <c:pt idx="111">
                  <c:v>5.9136879227392818</c:v>
                </c:pt>
                <c:pt idx="112">
                  <c:v>5.9110430073904556</c:v>
                </c:pt>
                <c:pt idx="113">
                  <c:v>5.9084155737792177</c:v>
                </c:pt>
                <c:pt idx="114">
                  <c:v>5.9058063760418378</c:v>
                </c:pt>
                <c:pt idx="115">
                  <c:v>5.9032161846675049</c:v>
                </c:pt>
                <c:pt idx="116">
                  <c:v>5.9006457865624187</c:v>
                </c:pt>
                <c:pt idx="117">
                  <c:v>5.898095985065023</c:v>
                </c:pt>
                <c:pt idx="118">
                  <c:v>5.8955675999099038</c:v>
                </c:pt>
                <c:pt idx="119">
                  <c:v>5.8930614671379296</c:v>
                </c:pt>
                <c:pt idx="120">
                  <c:v>5.8905784389501887</c:v>
                </c:pt>
                <c:pt idx="121">
                  <c:v>5.8881193835033381</c:v>
                </c:pt>
                <c:pt idx="122">
                  <c:v>5.8856851846440277</c:v>
                </c:pt>
                <c:pt idx="123">
                  <c:v>5.8832767415801381</c:v>
                </c:pt>
                <c:pt idx="124">
                  <c:v>5.8808949684866318</c:v>
                </c:pt>
                <c:pt idx="125">
                  <c:v>5.8785407940439889</c:v>
                </c:pt>
                <c:pt idx="126">
                  <c:v>5.8762151609072601</c:v>
                </c:pt>
                <c:pt idx="127">
                  <c:v>5.8739190251040077</c:v>
                </c:pt>
                <c:pt idx="128">
                  <c:v>5.8716533553595101</c:v>
                </c:pt>
                <c:pt idx="129">
                  <c:v>5.8694191323478755</c:v>
                </c:pt>
                <c:pt idx="130">
                  <c:v>5.8672173478679053</c:v>
                </c:pt>
                <c:pt idx="131">
                  <c:v>5.8650490039428389</c:v>
                </c:pt>
                <c:pt idx="132">
                  <c:v>5.8629151118433498</c:v>
                </c:pt>
                <c:pt idx="133">
                  <c:v>5.860816691033528</c:v>
                </c:pt>
                <c:pt idx="134">
                  <c:v>5.8587547680398933</c:v>
                </c:pt>
                <c:pt idx="135">
                  <c:v>5.8567303752438367</c:v>
                </c:pt>
                <c:pt idx="136">
                  <c:v>5.8547445495982897</c:v>
                </c:pt>
                <c:pt idx="137">
                  <c:v>5.8527983312698302</c:v>
                </c:pt>
                <c:pt idx="138">
                  <c:v>5.8508927622078524</c:v>
                </c:pt>
                <c:pt idx="139">
                  <c:v>5.8490288846428635</c:v>
                </c:pt>
                <c:pt idx="140">
                  <c:v>5.8472077395164765</c:v>
                </c:pt>
                <c:pt idx="141">
                  <c:v>5.8454303648460915</c:v>
                </c:pt>
                <c:pt idx="142">
                  <c:v>5.8436977940277774</c:v>
                </c:pt>
                <c:pt idx="143">
                  <c:v>5.842011054081353</c:v>
                </c:pt>
                <c:pt idx="144">
                  <c:v>5.8403711638421623</c:v>
                </c:pt>
                <c:pt idx="145">
                  <c:v>5.8387791321045155</c:v>
                </c:pt>
                <c:pt idx="146">
                  <c:v>5.8372359557222824</c:v>
                </c:pt>
                <c:pt idx="147">
                  <c:v>5.8357426176725937</c:v>
                </c:pt>
                <c:pt idx="148">
                  <c:v>5.8343000850890405</c:v>
                </c:pt>
                <c:pt idx="149">
                  <c:v>5.8329093072712448</c:v>
                </c:pt>
                <c:pt idx="150">
                  <c:v>5.8315712136780498</c:v>
                </c:pt>
                <c:pt idx="151">
                  <c:v>5.8302867119119943</c:v>
                </c:pt>
                <c:pt idx="152">
                  <c:v>5.8290566857030512</c:v>
                </c:pt>
                <c:pt idx="153">
                  <c:v>5.8278819928999157</c:v>
                </c:pt>
                <c:pt idx="154">
                  <c:v>5.826763463477433</c:v>
                </c:pt>
                <c:pt idx="155">
                  <c:v>5.8257018975688872</c:v>
                </c:pt>
                <c:pt idx="156">
                  <c:v>5.8246980635320655</c:v>
                </c:pt>
                <c:pt idx="157">
                  <c:v>5.8237526960581318</c:v>
                </c:pt>
                <c:pt idx="158">
                  <c:v>5.8228664943322697</c:v>
                </c:pt>
                <c:pt idx="159">
                  <c:v>5.8220401202551626</c:v>
                </c:pt>
                <c:pt idx="160">
                  <c:v>5.8212741967341213</c:v>
                </c:pt>
                <c:pt idx="161">
                  <c:v>5.8205693060526142</c:v>
                </c:pt>
                <c:pt idx="162">
                  <c:v>5.8199259883266352</c:v>
                </c:pt>
                <c:pt idx="163">
                  <c:v>5.8193447400560823</c:v>
                </c:pt>
                <c:pt idx="164">
                  <c:v>5.8188260127788887</c:v>
                </c:pt>
                <c:pt idx="165">
                  <c:v>5.8183702118352292</c:v>
                </c:pt>
                <c:pt idx="166">
                  <c:v>5.8179776952486204</c:v>
                </c:pt>
                <c:pt idx="167">
                  <c:v>5.8176487727301067</c:v>
                </c:pt>
                <c:pt idx="168">
                  <c:v>5.8173837048111823</c:v>
                </c:pt>
                <c:pt idx="169">
                  <c:v>5.8171827021103004</c:v>
                </c:pt>
                <c:pt idx="170">
                  <c:v>5.8170459247372053</c:v>
                </c:pt>
                <c:pt idx="171">
                  <c:v>5.8169734818384882</c:v>
                </c:pt>
                <c:pt idx="172">
                  <c:v>5.8169654312869898</c:v>
                </c:pt>
                <c:pt idx="173">
                  <c:v>5.8170217795168506</c:v>
                </c:pt>
                <c:pt idx="174">
                  <c:v>5.8171424815051571</c:v>
                </c:pt>
                <c:pt idx="175">
                  <c:v>5.8173274409003009</c:v>
                </c:pt>
                <c:pt idx="176">
                  <c:v>5.817576510296302</c:v>
                </c:pt>
                <c:pt idx="177">
                  <c:v>5.8178894916515054</c:v>
                </c:pt>
                <c:pt idx="178">
                  <c:v>5.8182661368492337</c:v>
                </c:pt>
                <c:pt idx="179">
                  <c:v>5.8187061483971751</c:v>
                </c:pt>
                <c:pt idx="180">
                  <c:v>5.8192091802615176</c:v>
                </c:pt>
                <c:pt idx="181">
                  <c:v>5.8197748388310533</c:v>
                </c:pt>
                <c:pt idx="182">
                  <c:v>5.8204026840058942</c:v>
                </c:pt>
                <c:pt idx="183">
                  <c:v>5.8210922304046333</c:v>
                </c:pt>
                <c:pt idx="184">
                  <c:v>5.8218429486833765</c:v>
                </c:pt>
                <c:pt idx="185">
                  <c:v>5.8226542669593844</c:v>
                </c:pt>
                <c:pt idx="186">
                  <c:v>5.8235255723317003</c:v>
                </c:pt>
                <c:pt idx="187">
                  <c:v>5.8244562124906913</c:v>
                </c:pt>
                <c:pt idx="188">
                  <c:v>5.8254454974081336</c:v>
                </c:pt>
                <c:pt idx="189">
                  <c:v>5.8264927010991414</c:v>
                </c:pt>
                <c:pt idx="190">
                  <c:v>5.8275970634471577</c:v>
                </c:pt>
                <c:pt idx="191">
                  <c:v>5.8287577920829845</c:v>
                </c:pt>
                <c:pt idx="192">
                  <c:v>5.8299740643088631</c:v>
                </c:pt>
                <c:pt idx="193">
                  <c:v>5.8312450290585733</c:v>
                </c:pt>
                <c:pt idx="194">
                  <c:v>5.8325698088846272</c:v>
                </c:pt>
                <c:pt idx="195">
                  <c:v>5.8339475019637579</c:v>
                </c:pt>
                <c:pt idx="196">
                  <c:v>5.8353771841120716</c:v>
                </c:pt>
                <c:pt idx="197">
                  <c:v>5.8368579108015295</c:v>
                </c:pt>
                <c:pt idx="198">
                  <c:v>5.8383887191696608</c:v>
                </c:pt>
                <c:pt idx="199">
                  <c:v>5.8399686300147948</c:v>
                </c:pt>
                <c:pt idx="200">
                  <c:v>5.8415966497694098</c:v>
                </c:pt>
                <c:pt idx="201">
                  <c:v>5.8432717724446883</c:v>
                </c:pt>
                <c:pt idx="202">
                  <c:v>5.8449929815397246</c:v>
                </c:pt>
                <c:pt idx="203">
                  <c:v>5.8467592519093188</c:v>
                </c:pt>
                <c:pt idx="204">
                  <c:v>5.8485695515847782</c:v>
                </c:pt>
                <c:pt idx="205">
                  <c:v>5.850422843542602</c:v>
                </c:pt>
                <c:pt idx="206">
                  <c:v>5.8523180874164398</c:v>
                </c:pt>
                <c:pt idx="207">
                  <c:v>5.8542542411482144</c:v>
                </c:pt>
                <c:pt idx="208">
                  <c:v>5.856230262574754</c:v>
                </c:pt>
                <c:pt idx="209">
                  <c:v>5.8582451109468279</c:v>
                </c:pt>
                <c:pt idx="210">
                  <c:v>5.8602977483779082</c:v>
                </c:pt>
                <c:pt idx="211">
                  <c:v>5.8623871412204744</c:v>
                </c:pt>
                <c:pt idx="212">
                  <c:v>5.8645122613681009</c:v>
                </c:pt>
                <c:pt idx="213">
                  <c:v>5.8666720874820593</c:v>
                </c:pt>
                <c:pt idx="214">
                  <c:v>5.8688656061414974</c:v>
                </c:pt>
                <c:pt idx="215">
                  <c:v>5.8710918129167204</c:v>
                </c:pt>
                <c:pt idx="216">
                  <c:v>5.8733497133654264</c:v>
                </c:pt>
                <c:pt idx="217">
                  <c:v>5.8756383239521082</c:v>
                </c:pt>
                <c:pt idx="218">
                  <c:v>5.8779566728911545</c:v>
                </c:pt>
                <c:pt idx="219">
                  <c:v>5.8803038009144375</c:v>
                </c:pt>
                <c:pt idx="220">
                  <c:v>5.8826787619645184</c:v>
                </c:pt>
                <c:pt idx="221">
                  <c:v>5.8850806238147531</c:v>
                </c:pt>
                <c:pt idx="222">
                  <c:v>5.8875084686178436</c:v>
                </c:pt>
                <c:pt idx="223">
                  <c:v>5.8899613933845965</c:v>
                </c:pt>
                <c:pt idx="224">
                  <c:v>5.8924385103947081</c:v>
                </c:pt>
                <c:pt idx="225">
                  <c:v>5.8949389475416956</c:v>
                </c:pt>
                <c:pt idx="226">
                  <c:v>5.897461848614058</c:v>
                </c:pt>
                <c:pt idx="227">
                  <c:v>5.900006373514926</c:v>
                </c:pt>
                <c:pt idx="228">
                  <c:v>5.9025716984225651</c:v>
                </c:pt>
                <c:pt idx="229">
                  <c:v>5.9051570158940523</c:v>
                </c:pt>
                <c:pt idx="230">
                  <c:v>5.9077615349145933</c:v>
                </c:pt>
                <c:pt idx="231">
                  <c:v>5.9103844808948871</c:v>
                </c:pt>
                <c:pt idx="232">
                  <c:v>5.9130250956190258</c:v>
                </c:pt>
                <c:pt idx="233">
                  <c:v>5.9156826371453297</c:v>
                </c:pt>
                <c:pt idx="234">
                  <c:v>5.9183563796625744</c:v>
                </c:pt>
                <c:pt idx="235">
                  <c:v>5.9210456133039884</c:v>
                </c:pt>
                <c:pt idx="236">
                  <c:v>5.9237496439213828</c:v>
                </c:pt>
                <c:pt idx="237">
                  <c:v>5.9264677928217075</c:v>
                </c:pt>
                <c:pt idx="238">
                  <c:v>5.9291993964682934</c:v>
                </c:pt>
                <c:pt idx="239">
                  <c:v>5.9319438061489613</c:v>
                </c:pt>
                <c:pt idx="240">
                  <c:v>5.9347003876131117</c:v>
                </c:pt>
                <c:pt idx="241">
                  <c:v>5.9374685206798539</c:v>
                </c:pt>
                <c:pt idx="242">
                  <c:v>5.9402475988191101</c:v>
                </c:pt>
                <c:pt idx="243">
                  <c:v>5.9430370287076419</c:v>
                </c:pt>
                <c:pt idx="244">
                  <c:v>5.9458362297617535</c:v>
                </c:pt>
                <c:pt idx="245">
                  <c:v>5.9486446336484295</c:v>
                </c:pt>
                <c:pt idx="246">
                  <c:v>5.9514616837765653</c:v>
                </c:pt>
                <c:pt idx="247">
                  <c:v>5.9542868347698263</c:v>
                </c:pt>
                <c:pt idx="248">
                  <c:v>5.9571195519226698</c:v>
                </c:pt>
                <c:pt idx="249">
                  <c:v>5.9599593106408966</c:v>
                </c:pt>
                <c:pt idx="250">
                  <c:v>5.9628055958681108</c:v>
                </c:pt>
                <c:pt idx="251">
                  <c:v>5.9656579014993119</c:v>
                </c:pt>
                <c:pt idx="252">
                  <c:v>5.9685157297828493</c:v>
                </c:pt>
                <c:pt idx="253">
                  <c:v>5.971378590711848</c:v>
                </c:pt>
                <c:pt idx="254">
                  <c:v>5.974246001406164</c:v>
                </c:pt>
                <c:pt idx="255">
                  <c:v>5.9771174854858939</c:v>
                </c:pt>
                <c:pt idx="256">
                  <c:v>5.9799925724373777</c:v>
                </c:pt>
                <c:pt idx="257">
                  <c:v>5.9828707969725974</c:v>
                </c:pt>
                <c:pt idx="258">
                  <c:v>5.9857516983828321</c:v>
                </c:pt>
                <c:pt idx="259">
                  <c:v>5.9886348198873698</c:v>
                </c:pt>
                <c:pt idx="260">
                  <c:v>5.9915197079780746</c:v>
                </c:pt>
                <c:pt idx="261">
                  <c:v>5.9944059117605395</c:v>
                </c:pt>
                <c:pt idx="262">
                  <c:v>5.9972929822925529</c:v>
                </c:pt>
                <c:pt idx="263">
                  <c:v>6.0001804719205811</c:v>
                </c:pt>
                <c:pt idx="264">
                  <c:v>6.0030679336149415</c:v>
                </c:pt>
                <c:pt idx="265">
                  <c:v>6.0059549203043563</c:v>
                </c:pt>
                <c:pt idx="266">
                  <c:v>6.0088409842105408</c:v>
                </c:pt>
                <c:pt idx="267">
                  <c:v>6.0117256761835147</c:v>
                </c:pt>
                <c:pt idx="268">
                  <c:v>6.0146085450382829</c:v>
                </c:pt>
                <c:pt idx="269">
                  <c:v>6.0174891368936043</c:v>
                </c:pt>
                <c:pt idx="270">
                  <c:v>6.0203669945135356</c:v>
                </c:pt>
                <c:pt idx="271">
                  <c:v>6.0232416566524636</c:v>
                </c:pt>
                <c:pt idx="272">
                  <c:v>6.0261126574044033</c:v>
                </c:pt>
                <c:pt idx="273">
                  <c:v>6.0289795255573209</c:v>
                </c:pt>
                <c:pt idx="274">
                  <c:v>6.0318417839533085</c:v>
                </c:pt>
                <c:pt idx="275">
                  <c:v>6.0346989488554792</c:v>
                </c:pt>
                <c:pt idx="276">
                  <c:v>6.0375505293224752</c:v>
                </c:pt>
                <c:pt idx="277">
                  <c:v>6.0403960265915515</c:v>
                </c:pt>
                <c:pt idx="278">
                  <c:v>6.0432349334712647</c:v>
                </c:pt>
                <c:pt idx="279">
                  <c:v>6.0460667337448095</c:v>
                </c:pt>
                <c:pt idx="280">
                  <c:v>6.0488909015851569</c:v>
                </c:pt>
                <c:pt idx="281">
                  <c:v>6.0517069009832039</c:v>
                </c:pt>
                <c:pt idx="282">
                  <c:v>6.0545141851901914</c:v>
                </c:pt>
                <c:pt idx="283">
                  <c:v>6.0573121961757392</c:v>
                </c:pt>
                <c:pt idx="284">
                  <c:v>6.0601003641029285</c:v>
                </c:pt>
                <c:pt idx="285">
                  <c:v>6.0628781068219286</c:v>
                </c:pt>
                <c:pt idx="286">
                  <c:v>6.0656448293837384</c:v>
                </c:pt>
                <c:pt idx="287">
                  <c:v>6.0683999235757158</c:v>
                </c:pt>
                <c:pt idx="288">
                  <c:v>6.0711427674806266</c:v>
                </c:pt>
                <c:pt idx="289">
                  <c:v>6.0738727250610278</c:v>
                </c:pt>
                <c:pt idx="290">
                  <c:v>6.0765891457709129</c:v>
                </c:pt>
                <c:pt idx="291">
                  <c:v>6.0792913641965551</c:v>
                </c:pt>
                <c:pt idx="292">
                  <c:v>6.0819786997286478</c:v>
                </c:pt>
                <c:pt idx="293">
                  <c:v>6.0846504562678367</c:v>
                </c:pt>
                <c:pt idx="294">
                  <c:v>6.0873059219658501</c:v>
                </c:pt>
                <c:pt idx="295">
                  <c:v>6.0899443690044892</c:v>
                </c:pt>
                <c:pt idx="296">
                  <c:v>6.092565053414762</c:v>
                </c:pt>
                <c:pt idx="297">
                  <c:v>6.0951672149385709</c:v>
                </c:pt>
                <c:pt idx="298">
                  <c:v>6.0977500769352861</c:v>
                </c:pt>
                <c:pt idx="299">
                  <c:v>6.1003128463356999</c:v>
                </c:pt>
                <c:pt idx="300">
                  <c:v>6.1028547136457467</c:v>
                </c:pt>
                <c:pt idx="301">
                  <c:v>6.1053748530024903</c:v>
                </c:pt>
                <c:pt idx="302">
                  <c:v>6.1078724222847658</c:v>
                </c:pt>
                <c:pt idx="303">
                  <c:v>6.1103465632809444</c:v>
                </c:pt>
                <c:pt idx="304">
                  <c:v>6.1127964019161549</c:v>
                </c:pt>
                <c:pt idx="305">
                  <c:v>6.115221048541291</c:v>
                </c:pt>
                <c:pt idx="306">
                  <c:v>6.1176195982860522</c:v>
                </c:pt>
                <c:pt idx="307">
                  <c:v>6.1199911314781303</c:v>
                </c:pt>
                <c:pt idx="308">
                  <c:v>6.1223347141305799</c:v>
                </c:pt>
                <c:pt idx="309">
                  <c:v>6.1246493984992263</c:v>
                </c:pt>
                <c:pt idx="310">
                  <c:v>6.1269342237118387</c:v>
                </c:pt>
                <c:pt idx="311">
                  <c:v>6.1291882164705473</c:v>
                </c:pt>
                <c:pt idx="312">
                  <c:v>6.1314103918288305</c:v>
                </c:pt>
                <c:pt idx="313">
                  <c:v>6.1335997540441127</c:v>
                </c:pt>
                <c:pt idx="314">
                  <c:v>6.1357552975067442</c:v>
                </c:pt>
                <c:pt idx="315">
                  <c:v>6.1378760077458603</c:v>
                </c:pt>
                <c:pt idx="316">
                  <c:v>6.1399608625122974</c:v>
                </c:pt>
                <c:pt idx="317">
                  <c:v>6.142008832938358</c:v>
                </c:pt>
                <c:pt idx="318">
                  <c:v>6.1440188847738968</c:v>
                </c:pt>
                <c:pt idx="319">
                  <c:v>6.1459899796977799</c:v>
                </c:pt>
                <c:pt idx="320">
                  <c:v>6.1479210767033399</c:v>
                </c:pt>
                <c:pt idx="321">
                  <c:v>6.1498111335560566</c:v>
                </c:pt>
                <c:pt idx="322">
                  <c:v>6.1516591083211933</c:v>
                </c:pt>
                <c:pt idx="323">
                  <c:v>6.1534639609586756</c:v>
                </c:pt>
                <c:pt idx="324">
                  <c:v>6.1552246549820291</c:v>
                </c:pt>
                <c:pt idx="325">
                  <c:v>6.1569401591776529</c:v>
                </c:pt>
                <c:pt idx="326">
                  <c:v>6.1586094493802976</c:v>
                </c:pt>
                <c:pt idx="327">
                  <c:v>6.1602315103000169</c:v>
                </c:pt>
                <c:pt idx="328">
                  <c:v>6.1618053373954611</c:v>
                </c:pt>
                <c:pt idx="329">
                  <c:v>6.1633299387878422</c:v>
                </c:pt>
                <c:pt idx="330">
                  <c:v>6.1648043372094543</c:v>
                </c:pt>
                <c:pt idx="331">
                  <c:v>6.1662275719801452</c:v>
                </c:pt>
                <c:pt idx="332">
                  <c:v>6.1675987010047768</c:v>
                </c:pt>
                <c:pt idx="333">
                  <c:v>6.1689168027842021</c:v>
                </c:pt>
                <c:pt idx="334">
                  <c:v>6.1701809784320414</c:v>
                </c:pt>
                <c:pt idx="335">
                  <c:v>6.1713903536890804</c:v>
                </c:pt>
                <c:pt idx="336">
                  <c:v>6.1725440809269561</c:v>
                </c:pt>
                <c:pt idx="337">
                  <c:v>6.173641341132436</c:v>
                </c:pt>
                <c:pt idx="338">
                  <c:v>6.174681345863517</c:v>
                </c:pt>
                <c:pt idx="339">
                  <c:v>6.175663339168362</c:v>
                </c:pt>
                <c:pt idx="340">
                  <c:v>6.1765865994580738</c:v>
                </c:pt>
                <c:pt idx="341">
                  <c:v>6.1774504413242806</c:v>
                </c:pt>
                <c:pt idx="342">
                  <c:v>6.1782542172925821</c:v>
                </c:pt>
                <c:pt idx="343">
                  <c:v>6.178997319503023</c:v>
                </c:pt>
                <c:pt idx="344">
                  <c:v>6.179679181308968</c:v>
                </c:pt>
                <c:pt idx="345">
                  <c:v>6.1802992787860518</c:v>
                </c:pt>
                <c:pt idx="346">
                  <c:v>6.1808571321431547</c:v>
                </c:pt>
                <c:pt idx="347">
                  <c:v>6.1813523070278169</c:v>
                </c:pt>
                <c:pt idx="348">
                  <c:v>6.1817844157189761</c:v>
                </c:pt>
                <c:pt idx="349">
                  <c:v>6.1821531182003877</c:v>
                </c:pt>
                <c:pt idx="350">
                  <c:v>6.1824581231088054</c:v>
                </c:pt>
                <c:pt idx="351">
                  <c:v>6.1826991885514921</c:v>
                </c:pt>
                <c:pt idx="352">
                  <c:v>6.1828761227884721</c:v>
                </c:pt>
                <c:pt idx="353">
                  <c:v>6.1829887847756044</c:v>
                </c:pt>
                <c:pt idx="354">
                  <c:v>6.18303708456535</c:v>
                </c:pt>
                <c:pt idx="355">
                  <c:v>6.1830209835629093</c:v>
                </c:pt>
                <c:pt idx="356">
                  <c:v>6.1829404946362789</c:v>
                </c:pt>
                <c:pt idx="357">
                  <c:v>6.1827956820795347</c:v>
                </c:pt>
                <c:pt idx="358">
                  <c:v>6.1825866614296219</c:v>
                </c:pt>
                <c:pt idx="359">
                  <c:v>6.1823135991376486</c:v>
                </c:pt>
                <c:pt idx="360">
                  <c:v>6.1819767120966382</c:v>
                </c:pt>
                <c:pt idx="361">
                  <c:v>6.1815762670284187</c:v>
                </c:pt>
                <c:pt idx="362">
                  <c:v>6.1811125797332078</c:v>
                </c:pt>
                <c:pt idx="363">
                  <c:v>6.180586014206142</c:v>
                </c:pt>
                <c:pt idx="364">
                  <c:v>6.1799969816257665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0A-4A41-96A8-A3CFEE870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246624"/>
        <c:axId val="2107249024"/>
      </c:scatterChart>
      <c:valAx>
        <c:axId val="21072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49024"/>
        <c:crosses val="autoZero"/>
        <c:crossBetween val="midCat"/>
      </c:valAx>
      <c:valAx>
        <c:axId val="21072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724662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Duração da noite ao longo do ano em horas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Planilha1!$J$6:$J$370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Planilha1!$AB$6:$AB$370</c:f>
              <c:numCache>
                <c:formatCode>General</c:formatCode>
                <c:ptCount val="365"/>
                <c:pt idx="0">
                  <c:v>11.641652905100896</c:v>
                </c:pt>
                <c:pt idx="1">
                  <c:v>11.643108592278217</c:v>
                </c:pt>
                <c:pt idx="2">
                  <c:v>11.644685918143164</c:v>
                </c:pt>
                <c:pt idx="3">
                  <c:v>11.646383687289443</c:v>
                </c:pt>
                <c:pt idx="4">
                  <c:v>11.648200624266464</c:v>
                </c:pt>
                <c:pt idx="5">
                  <c:v>11.650135376901103</c:v>
                </c:pt>
                <c:pt idx="6">
                  <c:v>11.652186519769735</c:v>
                </c:pt>
                <c:pt idx="7">
                  <c:v>11.654352557803019</c:v>
                </c:pt>
                <c:pt idx="8">
                  <c:v>11.656631930005528</c:v>
                </c:pt>
                <c:pt idx="9">
                  <c:v>11.659023013272238</c:v>
                </c:pt>
                <c:pt idx="10">
                  <c:v>11.661524126283833</c:v>
                </c:pt>
                <c:pt idx="11">
                  <c:v>11.664133533462834</c:v>
                </c:pt>
                <c:pt idx="12">
                  <c:v>11.666849448972917</c:v>
                </c:pt>
                <c:pt idx="13">
                  <c:v>11.669670040743927</c:v>
                </c:pt>
                <c:pt idx="14">
                  <c:v>11.672593434505796</c:v>
                </c:pt>
                <c:pt idx="15">
                  <c:v>11.675617717814896</c:v>
                </c:pt>
                <c:pt idx="16">
                  <c:v>11.678740944057113</c:v>
                </c:pt>
                <c:pt idx="17">
                  <c:v>11.681961136412648</c:v>
                </c:pt>
                <c:pt idx="18">
                  <c:v>11.6852762917683</c:v>
                </c:pt>
                <c:pt idx="19">
                  <c:v>11.688684384563858</c:v>
                </c:pt>
                <c:pt idx="20">
                  <c:v>11.692183370560109</c:v>
                </c:pt>
                <c:pt idx="21">
                  <c:v>11.695771190516941</c:v>
                </c:pt>
                <c:pt idx="22">
                  <c:v>11.699445773770934</c:v>
                </c:pt>
                <c:pt idx="23">
                  <c:v>11.703205041702841</c:v>
                </c:pt>
                <c:pt idx="24">
                  <c:v>11.70704691108636</c:v>
                </c:pt>
                <c:pt idx="25">
                  <c:v>11.710969297310553</c:v>
                </c:pt>
                <c:pt idx="26">
                  <c:v>11.714970117469305</c:v>
                </c:pt>
                <c:pt idx="27">
                  <c:v>11.719047293312087</c:v>
                </c:pt>
                <c:pt idx="28">
                  <c:v>11.723198754051387</c:v>
                </c:pt>
                <c:pt idx="29">
                  <c:v>11.727422439022892</c:v>
                </c:pt>
                <c:pt idx="30">
                  <c:v>11.73171630019556</c:v>
                </c:pt>
                <c:pt idx="31">
                  <c:v>11.736078304529457</c:v>
                </c:pt>
                <c:pt idx="32">
                  <c:v>11.740506436180054</c:v>
                </c:pt>
                <c:pt idx="33">
                  <c:v>11.744998698548484</c:v>
                </c:pt>
                <c:pt idx="34">
                  <c:v>11.749553116177871</c:v>
                </c:pt>
                <c:pt idx="35">
                  <c:v>11.754167736496591</c:v>
                </c:pt>
                <c:pt idx="36">
                  <c:v>11.758840631409871</c:v>
                </c:pt>
                <c:pt idx="37">
                  <c:v>11.763569898741695</c:v>
                </c:pt>
                <c:pt idx="38">
                  <c:v>11.768353663529487</c:v>
                </c:pt>
                <c:pt idx="39">
                  <c:v>11.773190079174523</c:v>
                </c:pt>
                <c:pt idx="40">
                  <c:v>11.778077328451339</c:v>
                </c:pt>
                <c:pt idx="41">
                  <c:v>11.783013624379835</c:v>
                </c:pt>
                <c:pt idx="42">
                  <c:v>11.787997210964038</c:v>
                </c:pt>
                <c:pt idx="43">
                  <c:v>11.793026363801706</c:v>
                </c:pt>
                <c:pt idx="44">
                  <c:v>11.798099390569265</c:v>
                </c:pt>
                <c:pt idx="45">
                  <c:v>11.8032146313866</c:v>
                </c:pt>
                <c:pt idx="46">
                  <c:v>11.808370459066463</c:v>
                </c:pt>
                <c:pt idx="47">
                  <c:v>11.813565279253307</c:v>
                </c:pt>
                <c:pt idx="48">
                  <c:v>11.818797530456418</c:v>
                </c:pt>
                <c:pt idx="49">
                  <c:v>11.824065683982234</c:v>
                </c:pt>
                <c:pt idx="50">
                  <c:v>11.829368243770723</c:v>
                </c:pt>
                <c:pt idx="51">
                  <c:v>11.834703746140763</c:v>
                </c:pt>
                <c:pt idx="52">
                  <c:v>11.840070759449226</c:v>
                </c:pt>
                <c:pt idx="53">
                  <c:v>11.84546788366861</c:v>
                </c:pt>
                <c:pt idx="54">
                  <c:v>11.850893749887774</c:v>
                </c:pt>
                <c:pt idx="55">
                  <c:v>11.856347019740429</c:v>
                </c:pt>
                <c:pt idx="56">
                  <c:v>11.861826384765658</c:v>
                </c:pt>
                <c:pt idx="57">
                  <c:v>11.867330565704902</c:v>
                </c:pt>
                <c:pt idx="58">
                  <c:v>11.872858311739456</c:v>
                </c:pt>
                <c:pt idx="59">
                  <c:v>11.878408399672489</c:v>
                </c:pt>
                <c:pt idx="60">
                  <c:v>11.883979633059505</c:v>
                </c:pt>
                <c:pt idx="61">
                  <c:v>11.889570841290782</c:v>
                </c:pt>
                <c:pt idx="62">
                  <c:v>11.89518087862945</c:v>
                </c:pt>
                <c:pt idx="63">
                  <c:v>11.900808623208514</c:v>
                </c:pt>
                <c:pt idx="64">
                  <c:v>11.906452975989973</c:v>
                </c:pt>
                <c:pt idx="65">
                  <c:v>11.91211285968917</c:v>
                </c:pt>
                <c:pt idx="66">
                  <c:v>11.917787217667161</c:v>
                </c:pt>
                <c:pt idx="67">
                  <c:v>11.923475012793917</c:v>
                </c:pt>
                <c:pt idx="68">
                  <c:v>11.929175226284855</c:v>
                </c:pt>
                <c:pt idx="69">
                  <c:v>11.934886856513211</c:v>
                </c:pt>
                <c:pt idx="70">
                  <c:v>11.940608917800542</c:v>
                </c:pt>
                <c:pt idx="71">
                  <c:v>11.946340439187473</c:v>
                </c:pt>
                <c:pt idx="72">
                  <c:v>11.952080463186848</c:v>
                </c:pt>
                <c:pt idx="73">
                  <c:v>11.957828044521131</c:v>
                </c:pt>
                <c:pt idx="74">
                  <c:v>11.963582248845965</c:v>
                </c:pt>
                <c:pt idx="75">
                  <c:v>11.969342151461584</c:v>
                </c:pt>
                <c:pt idx="76">
                  <c:v>11.975106836013758</c:v>
                </c:pt>
                <c:pt idx="77">
                  <c:v>11.980875393185869</c:v>
                </c:pt>
                <c:pt idx="78">
                  <c:v>11.986646919383597</c:v>
                </c:pt>
                <c:pt idx="79">
                  <c:v>11.9924205154137</c:v>
                </c:pt>
                <c:pt idx="80">
                  <c:v>11.998195285158312</c:v>
                </c:pt>
                <c:pt idx="81">
                  <c:v>12.003970334246098</c:v>
                </c:pt>
                <c:pt idx="82">
                  <c:v>12.009744768721694</c:v>
                </c:pt>
                <c:pt idx="83">
                  <c:v>12.015517693714681</c:v>
                </c:pt>
                <c:pt idx="84">
                  <c:v>12.021288212109509</c:v>
                </c:pt>
                <c:pt idx="85">
                  <c:v>12.027055423217682</c:v>
                </c:pt>
                <c:pt idx="86">
                  <c:v>12.032818421453555</c:v>
                </c:pt>
                <c:pt idx="87">
                  <c:v>12.038576295015183</c:v>
                </c:pt>
                <c:pt idx="88">
                  <c:v>12.044328124571591</c:v>
                </c:pt>
                <c:pt idx="89">
                  <c:v>12.050072981957994</c:v>
                </c:pt>
                <c:pt idx="90">
                  <c:v>12.055809928880485</c:v>
                </c:pt>
                <c:pt idx="91">
                  <c:v>12.061538015631802</c:v>
                </c:pt>
                <c:pt idx="92">
                  <c:v>12.067256279819864</c:v>
                </c:pt>
                <c:pt idx="93">
                  <c:v>12.072963745110853</c:v>
                </c:pt>
                <c:pt idx="94">
                  <c:v>12.078659419988744</c:v>
                </c:pt>
                <c:pt idx="95">
                  <c:v>12.084342296533208</c:v>
                </c:pt>
                <c:pt idx="96">
                  <c:v>12.090011349218051</c:v>
                </c:pt>
                <c:pt idx="97">
                  <c:v>12.095665533732355</c:v>
                </c:pt>
                <c:pt idx="98">
                  <c:v>12.101303785826754</c:v>
                </c:pt>
                <c:pt idx="99">
                  <c:v>12.106925020187228</c:v>
                </c:pt>
                <c:pt idx="100">
                  <c:v>12.112528129339154</c:v>
                </c:pt>
                <c:pt idx="101">
                  <c:v>12.118111982584342</c:v>
                </c:pt>
                <c:pt idx="102">
                  <c:v>12.123675424974008</c:v>
                </c:pt>
                <c:pt idx="103">
                  <c:v>12.129217276320805</c:v>
                </c:pt>
                <c:pt idx="104">
                  <c:v>12.134736330253135</c:v>
                </c:pt>
                <c:pt idx="105">
                  <c:v>12.14023135331518</c:v>
                </c:pt>
                <c:pt idx="106">
                  <c:v>12.145701084116251</c:v>
                </c:pt>
                <c:pt idx="107">
                  <c:v>12.151144232533154</c:v>
                </c:pt>
                <c:pt idx="108">
                  <c:v>12.15655947896953</c:v>
                </c:pt>
                <c:pt idx="109">
                  <c:v>12.161945473676136</c:v>
                </c:pt>
                <c:pt idx="110">
                  <c:v>12.167300836136402</c:v>
                </c:pt>
                <c:pt idx="111">
                  <c:v>12.172624154521436</c:v>
                </c:pt>
                <c:pt idx="112">
                  <c:v>12.177913985219089</c:v>
                </c:pt>
                <c:pt idx="113">
                  <c:v>12.183168852441565</c:v>
                </c:pt>
                <c:pt idx="114">
                  <c:v>12.188387247916324</c:v>
                </c:pt>
                <c:pt idx="115">
                  <c:v>12.19356763066499</c:v>
                </c:pt>
                <c:pt idx="116">
                  <c:v>12.198708426875163</c:v>
                </c:pt>
                <c:pt idx="117">
                  <c:v>12.203808029869954</c:v>
                </c:pt>
                <c:pt idx="118">
                  <c:v>12.208864800180192</c:v>
                </c:pt>
                <c:pt idx="119">
                  <c:v>12.213877065724141</c:v>
                </c:pt>
                <c:pt idx="120">
                  <c:v>12.218843122099623</c:v>
                </c:pt>
                <c:pt idx="121">
                  <c:v>12.223761232993324</c:v>
                </c:pt>
                <c:pt idx="122">
                  <c:v>12.228629630711945</c:v>
                </c:pt>
                <c:pt idx="123">
                  <c:v>12.233446516839724</c:v>
                </c:pt>
                <c:pt idx="124">
                  <c:v>12.238210063026736</c:v>
                </c:pt>
                <c:pt idx="125">
                  <c:v>12.242918411912022</c:v>
                </c:pt>
                <c:pt idx="126">
                  <c:v>12.24756967818548</c:v>
                </c:pt>
                <c:pt idx="127">
                  <c:v>12.252161949791985</c:v>
                </c:pt>
                <c:pt idx="128">
                  <c:v>12.25669328928098</c:v>
                </c:pt>
                <c:pt idx="129">
                  <c:v>12.261161735304249</c:v>
                </c:pt>
                <c:pt idx="130">
                  <c:v>12.265565304264189</c:v>
                </c:pt>
                <c:pt idx="131">
                  <c:v>12.269901992114322</c:v>
                </c:pt>
                <c:pt idx="132">
                  <c:v>12.2741697763133</c:v>
                </c:pt>
                <c:pt idx="133">
                  <c:v>12.278366617932944</c:v>
                </c:pt>
                <c:pt idx="134">
                  <c:v>12.282490463920213</c:v>
                </c:pt>
                <c:pt idx="135">
                  <c:v>12.286539249512327</c:v>
                </c:pt>
                <c:pt idx="136">
                  <c:v>12.290510900803421</c:v>
                </c:pt>
                <c:pt idx="137">
                  <c:v>12.29440333746034</c:v>
                </c:pt>
                <c:pt idx="138">
                  <c:v>12.298214475584295</c:v>
                </c:pt>
                <c:pt idx="139">
                  <c:v>12.301942230714273</c:v>
                </c:pt>
                <c:pt idx="140">
                  <c:v>12.305584520967047</c:v>
                </c:pt>
                <c:pt idx="141">
                  <c:v>12.309139270307817</c:v>
                </c:pt>
                <c:pt idx="142">
                  <c:v>12.312604411944445</c:v>
                </c:pt>
                <c:pt idx="143">
                  <c:v>12.315977891837294</c:v>
                </c:pt>
                <c:pt idx="144">
                  <c:v>12.319257672315675</c:v>
                </c:pt>
                <c:pt idx="145">
                  <c:v>12.322441735790969</c:v>
                </c:pt>
                <c:pt idx="146">
                  <c:v>12.325528088555435</c:v>
                </c:pt>
                <c:pt idx="147">
                  <c:v>12.328514764654813</c:v>
                </c:pt>
                <c:pt idx="148">
                  <c:v>12.331399829821919</c:v>
                </c:pt>
                <c:pt idx="149">
                  <c:v>12.33418138545751</c:v>
                </c:pt>
                <c:pt idx="150">
                  <c:v>12.3368575726439</c:v>
                </c:pt>
                <c:pt idx="151">
                  <c:v>12.339426576176011</c:v>
                </c:pt>
                <c:pt idx="152">
                  <c:v>12.341886628593898</c:v>
                </c:pt>
                <c:pt idx="153">
                  <c:v>12.344236014200169</c:v>
                </c:pt>
                <c:pt idx="154">
                  <c:v>12.346473073045134</c:v>
                </c:pt>
                <c:pt idx="155">
                  <c:v>12.348596204862226</c:v>
                </c:pt>
                <c:pt idx="156">
                  <c:v>12.350603872935869</c:v>
                </c:pt>
                <c:pt idx="157">
                  <c:v>12.352494607883736</c:v>
                </c:pt>
                <c:pt idx="158">
                  <c:v>12.354267011335461</c:v>
                </c:pt>
                <c:pt idx="159">
                  <c:v>12.355919759489675</c:v>
                </c:pt>
                <c:pt idx="160">
                  <c:v>12.357451606531757</c:v>
                </c:pt>
                <c:pt idx="161">
                  <c:v>12.358861387894772</c:v>
                </c:pt>
                <c:pt idx="162">
                  <c:v>12.36014802334673</c:v>
                </c:pt>
                <c:pt idx="163">
                  <c:v>12.361310519887835</c:v>
                </c:pt>
                <c:pt idx="164">
                  <c:v>12.362347974442223</c:v>
                </c:pt>
                <c:pt idx="165">
                  <c:v>12.363259576329542</c:v>
                </c:pt>
                <c:pt idx="166">
                  <c:v>12.364044609502759</c:v>
                </c:pt>
                <c:pt idx="167">
                  <c:v>12.364702454539787</c:v>
                </c:pt>
                <c:pt idx="168">
                  <c:v>12.365232590377635</c:v>
                </c:pt>
                <c:pt idx="169">
                  <c:v>12.365634595779399</c:v>
                </c:pt>
                <c:pt idx="170">
                  <c:v>12.365908150525589</c:v>
                </c:pt>
                <c:pt idx="171">
                  <c:v>12.366053036323024</c:v>
                </c:pt>
                <c:pt idx="172">
                  <c:v>12.36606913742602</c:v>
                </c:pt>
                <c:pt idx="173">
                  <c:v>12.365956440966299</c:v>
                </c:pt>
                <c:pt idx="174">
                  <c:v>12.365715036989686</c:v>
                </c:pt>
                <c:pt idx="175">
                  <c:v>12.365345118199398</c:v>
                </c:pt>
                <c:pt idx="176">
                  <c:v>12.364846979407396</c:v>
                </c:pt>
                <c:pt idx="177">
                  <c:v>12.364221016696989</c:v>
                </c:pt>
                <c:pt idx="178">
                  <c:v>12.363467726301533</c:v>
                </c:pt>
                <c:pt idx="179">
                  <c:v>12.36258770320565</c:v>
                </c:pt>
                <c:pt idx="180">
                  <c:v>12.361581639476965</c:v>
                </c:pt>
                <c:pt idx="181">
                  <c:v>12.360450322337893</c:v>
                </c:pt>
                <c:pt idx="182">
                  <c:v>12.359194631988212</c:v>
                </c:pt>
                <c:pt idx="183">
                  <c:v>12.357815539190733</c:v>
                </c:pt>
                <c:pt idx="184">
                  <c:v>12.356314102633247</c:v>
                </c:pt>
                <c:pt idx="185">
                  <c:v>12.354691466081231</c:v>
                </c:pt>
                <c:pt idx="186">
                  <c:v>12.352948855336599</c:v>
                </c:pt>
                <c:pt idx="187">
                  <c:v>12.351087575018617</c:v>
                </c:pt>
                <c:pt idx="188">
                  <c:v>12.349109005183733</c:v>
                </c:pt>
                <c:pt idx="189">
                  <c:v>12.347014597801717</c:v>
                </c:pt>
                <c:pt idx="190">
                  <c:v>12.344805873105685</c:v>
                </c:pt>
                <c:pt idx="191">
                  <c:v>12.342484415834031</c:v>
                </c:pt>
                <c:pt idx="192">
                  <c:v>12.340051871382274</c:v>
                </c:pt>
                <c:pt idx="193">
                  <c:v>12.337509941882853</c:v>
                </c:pt>
                <c:pt idx="194">
                  <c:v>12.334860382230746</c:v>
                </c:pt>
                <c:pt idx="195">
                  <c:v>12.332104996072484</c:v>
                </c:pt>
                <c:pt idx="196">
                  <c:v>12.329245631775857</c:v>
                </c:pt>
                <c:pt idx="197">
                  <c:v>12.326284178396941</c:v>
                </c:pt>
                <c:pt idx="198">
                  <c:v>12.323222561660678</c:v>
                </c:pt>
                <c:pt idx="199">
                  <c:v>12.32006273997041</c:v>
                </c:pt>
                <c:pt idx="200">
                  <c:v>12.31680670046118</c:v>
                </c:pt>
                <c:pt idx="201">
                  <c:v>12.313456455110623</c:v>
                </c:pt>
                <c:pt idx="202">
                  <c:v>12.310014036920551</c:v>
                </c:pt>
                <c:pt idx="203">
                  <c:v>12.306481496181362</c:v>
                </c:pt>
                <c:pt idx="204">
                  <c:v>12.302860896830444</c:v>
                </c:pt>
                <c:pt idx="205">
                  <c:v>12.299154312914796</c:v>
                </c:pt>
                <c:pt idx="206">
                  <c:v>12.29536382516712</c:v>
                </c:pt>
                <c:pt idx="207">
                  <c:v>12.291491517703571</c:v>
                </c:pt>
                <c:pt idx="208">
                  <c:v>12.287539474850492</c:v>
                </c:pt>
                <c:pt idx="209">
                  <c:v>12.283509778106344</c:v>
                </c:pt>
                <c:pt idx="210">
                  <c:v>12.279404503244184</c:v>
                </c:pt>
                <c:pt idx="211">
                  <c:v>12.275225717559051</c:v>
                </c:pt>
                <c:pt idx="212">
                  <c:v>12.270975477263798</c:v>
                </c:pt>
                <c:pt idx="213">
                  <c:v>12.266655825035881</c:v>
                </c:pt>
                <c:pt idx="214">
                  <c:v>12.262268787717005</c:v>
                </c:pt>
                <c:pt idx="215">
                  <c:v>12.257816374166559</c:v>
                </c:pt>
                <c:pt idx="216">
                  <c:v>12.253300573269147</c:v>
                </c:pt>
                <c:pt idx="217">
                  <c:v>12.248723352095784</c:v>
                </c:pt>
                <c:pt idx="218">
                  <c:v>12.244086654217691</c:v>
                </c:pt>
                <c:pt idx="219">
                  <c:v>12.239392398171125</c:v>
                </c:pt>
                <c:pt idx="220">
                  <c:v>12.234642476070963</c:v>
                </c:pt>
                <c:pt idx="221">
                  <c:v>12.229838752370494</c:v>
                </c:pt>
                <c:pt idx="222">
                  <c:v>12.224983062764313</c:v>
                </c:pt>
                <c:pt idx="223">
                  <c:v>12.220077213230807</c:v>
                </c:pt>
                <c:pt idx="224">
                  <c:v>12.215122979210584</c:v>
                </c:pt>
                <c:pt idx="225">
                  <c:v>12.210122104916609</c:v>
                </c:pt>
                <c:pt idx="226">
                  <c:v>12.205076302771884</c:v>
                </c:pt>
                <c:pt idx="227">
                  <c:v>12.199987252970148</c:v>
                </c:pt>
                <c:pt idx="228">
                  <c:v>12.19485660315487</c:v>
                </c:pt>
                <c:pt idx="229">
                  <c:v>12.189685968211895</c:v>
                </c:pt>
                <c:pt idx="230">
                  <c:v>12.184476930170813</c:v>
                </c:pt>
                <c:pt idx="231">
                  <c:v>12.179231038210226</c:v>
                </c:pt>
                <c:pt idx="232">
                  <c:v>12.173949808761948</c:v>
                </c:pt>
                <c:pt idx="233">
                  <c:v>12.168634725709341</c:v>
                </c:pt>
                <c:pt idx="234">
                  <c:v>12.163287240674851</c:v>
                </c:pt>
                <c:pt idx="235">
                  <c:v>12.157908773392023</c:v>
                </c:pt>
                <c:pt idx="236">
                  <c:v>12.152500712157234</c:v>
                </c:pt>
                <c:pt idx="237">
                  <c:v>12.147064414356585</c:v>
                </c:pt>
                <c:pt idx="238">
                  <c:v>12.141601207063413</c:v>
                </c:pt>
                <c:pt idx="239">
                  <c:v>12.136112387702077</c:v>
                </c:pt>
                <c:pt idx="240">
                  <c:v>12.130599224773777</c:v>
                </c:pt>
                <c:pt idx="241">
                  <c:v>12.125062958640292</c:v>
                </c:pt>
                <c:pt idx="242">
                  <c:v>12.11950480236178</c:v>
                </c:pt>
                <c:pt idx="243">
                  <c:v>12.113925942584716</c:v>
                </c:pt>
                <c:pt idx="244">
                  <c:v>12.108327540476493</c:v>
                </c:pt>
                <c:pt idx="245">
                  <c:v>12.102710732703141</c:v>
                </c:pt>
                <c:pt idx="246">
                  <c:v>12.097076632446869</c:v>
                </c:pt>
                <c:pt idx="247">
                  <c:v>12.091426330460347</c:v>
                </c:pt>
                <c:pt idx="248">
                  <c:v>12.08576089615466</c:v>
                </c:pt>
                <c:pt idx="249">
                  <c:v>12.080081378718207</c:v>
                </c:pt>
                <c:pt idx="250">
                  <c:v>12.074388808263778</c:v>
                </c:pt>
                <c:pt idx="251">
                  <c:v>12.068684197001376</c:v>
                </c:pt>
                <c:pt idx="252">
                  <c:v>12.062968540434301</c:v>
                </c:pt>
                <c:pt idx="253">
                  <c:v>12.057242818576304</c:v>
                </c:pt>
                <c:pt idx="254">
                  <c:v>12.051507997187672</c:v>
                </c:pt>
                <c:pt idx="255">
                  <c:v>12.045765029028212</c:v>
                </c:pt>
                <c:pt idx="256">
                  <c:v>12.040014855125245</c:v>
                </c:pt>
                <c:pt idx="257">
                  <c:v>12.034258406054805</c:v>
                </c:pt>
                <c:pt idx="258">
                  <c:v>12.028496603234336</c:v>
                </c:pt>
                <c:pt idx="259">
                  <c:v>12.02273036022526</c:v>
                </c:pt>
                <c:pt idx="260">
                  <c:v>12.016960584043851</c:v>
                </c:pt>
                <c:pt idx="261">
                  <c:v>12.011188176478921</c:v>
                </c:pt>
                <c:pt idx="262">
                  <c:v>12.005414035414894</c:v>
                </c:pt>
                <c:pt idx="263">
                  <c:v>11.999639056158838</c:v>
                </c:pt>
                <c:pt idx="264">
                  <c:v>11.993864132770117</c:v>
                </c:pt>
                <c:pt idx="265">
                  <c:v>11.988090159391287</c:v>
                </c:pt>
                <c:pt idx="266">
                  <c:v>11.982318031578918</c:v>
                </c:pt>
                <c:pt idx="267">
                  <c:v>11.976548647632971</c:v>
                </c:pt>
                <c:pt idx="268">
                  <c:v>11.970782909923434</c:v>
                </c:pt>
                <c:pt idx="269">
                  <c:v>11.965021726212791</c:v>
                </c:pt>
                <c:pt idx="270">
                  <c:v>11.959266010972929</c:v>
                </c:pt>
                <c:pt idx="271">
                  <c:v>11.953516686695073</c:v>
                </c:pt>
                <c:pt idx="272">
                  <c:v>11.947774685191193</c:v>
                </c:pt>
                <c:pt idx="273">
                  <c:v>11.942040948885358</c:v>
                </c:pt>
                <c:pt idx="274">
                  <c:v>11.936316432093383</c:v>
                </c:pt>
                <c:pt idx="275">
                  <c:v>11.930602102289042</c:v>
                </c:pt>
                <c:pt idx="276">
                  <c:v>11.92489894135505</c:v>
                </c:pt>
                <c:pt idx="277">
                  <c:v>11.919207946816897</c:v>
                </c:pt>
                <c:pt idx="278">
                  <c:v>11.913530133057471</c:v>
                </c:pt>
                <c:pt idx="279">
                  <c:v>11.907866532510381</c:v>
                </c:pt>
                <c:pt idx="280">
                  <c:v>11.902218196829686</c:v>
                </c:pt>
                <c:pt idx="281">
                  <c:v>11.896586198033592</c:v>
                </c:pt>
                <c:pt idx="282">
                  <c:v>11.890971629619617</c:v>
                </c:pt>
                <c:pt idx="283">
                  <c:v>11.885375607648522</c:v>
                </c:pt>
                <c:pt idx="284">
                  <c:v>11.879799271794143</c:v>
                </c:pt>
                <c:pt idx="285">
                  <c:v>11.874243786356143</c:v>
                </c:pt>
                <c:pt idx="286">
                  <c:v>11.868710341232523</c:v>
                </c:pt>
                <c:pt idx="287">
                  <c:v>11.863200152848568</c:v>
                </c:pt>
                <c:pt idx="288">
                  <c:v>11.857714465038747</c:v>
                </c:pt>
                <c:pt idx="289">
                  <c:v>11.852254549877944</c:v>
                </c:pt>
                <c:pt idx="290">
                  <c:v>11.846821708458174</c:v>
                </c:pt>
                <c:pt idx="291">
                  <c:v>11.84141727160689</c:v>
                </c:pt>
                <c:pt idx="292">
                  <c:v>11.836042600542704</c:v>
                </c:pt>
                <c:pt idx="293">
                  <c:v>11.830699087464327</c:v>
                </c:pt>
                <c:pt idx="294">
                  <c:v>11.8253881560683</c:v>
                </c:pt>
                <c:pt idx="295">
                  <c:v>11.820111261991022</c:v>
                </c:pt>
                <c:pt idx="296">
                  <c:v>11.814869893170476</c:v>
                </c:pt>
                <c:pt idx="297">
                  <c:v>11.809665570122858</c:v>
                </c:pt>
                <c:pt idx="298">
                  <c:v>11.804499846129428</c:v>
                </c:pt>
                <c:pt idx="299">
                  <c:v>11.7993743073286</c:v>
                </c:pt>
                <c:pt idx="300">
                  <c:v>11.794290572708507</c:v>
                </c:pt>
                <c:pt idx="301">
                  <c:v>11.789250293995019</c:v>
                </c:pt>
                <c:pt idx="302">
                  <c:v>11.784255155430468</c:v>
                </c:pt>
                <c:pt idx="303">
                  <c:v>11.779306873438111</c:v>
                </c:pt>
                <c:pt idx="304">
                  <c:v>11.77440719616769</c:v>
                </c:pt>
                <c:pt idx="305">
                  <c:v>11.769557902917418</c:v>
                </c:pt>
                <c:pt idx="306">
                  <c:v>11.764760803427896</c:v>
                </c:pt>
                <c:pt idx="307">
                  <c:v>11.760017737043739</c:v>
                </c:pt>
                <c:pt idx="308">
                  <c:v>11.75533057173884</c:v>
                </c:pt>
                <c:pt idx="309">
                  <c:v>11.750701203001547</c:v>
                </c:pt>
                <c:pt idx="310">
                  <c:v>11.746131552576323</c:v>
                </c:pt>
                <c:pt idx="311">
                  <c:v>11.741623567058905</c:v>
                </c:pt>
                <c:pt idx="312">
                  <c:v>11.737179216342339</c:v>
                </c:pt>
                <c:pt idx="313">
                  <c:v>11.732800491911775</c:v>
                </c:pt>
                <c:pt idx="314">
                  <c:v>11.728489404986512</c:v>
                </c:pt>
                <c:pt idx="315">
                  <c:v>11.724247984508279</c:v>
                </c:pt>
                <c:pt idx="316">
                  <c:v>11.720078274975405</c:v>
                </c:pt>
                <c:pt idx="317">
                  <c:v>11.715982334123284</c:v>
                </c:pt>
                <c:pt idx="318">
                  <c:v>11.711962230452206</c:v>
                </c:pt>
                <c:pt idx="319">
                  <c:v>11.70802004060444</c:v>
                </c:pt>
                <c:pt idx="320">
                  <c:v>11.70415784659332</c:v>
                </c:pt>
                <c:pt idx="321">
                  <c:v>11.700377732887887</c:v>
                </c:pt>
                <c:pt idx="322">
                  <c:v>11.696681783357613</c:v>
                </c:pt>
                <c:pt idx="323">
                  <c:v>11.693072078082649</c:v>
                </c:pt>
                <c:pt idx="324">
                  <c:v>11.689550690035942</c:v>
                </c:pt>
                <c:pt idx="325">
                  <c:v>11.686119681644694</c:v>
                </c:pt>
                <c:pt idx="326">
                  <c:v>11.682781101239405</c:v>
                </c:pt>
                <c:pt idx="327">
                  <c:v>11.679536979399966</c:v>
                </c:pt>
                <c:pt idx="328">
                  <c:v>11.676389325209078</c:v>
                </c:pt>
                <c:pt idx="329">
                  <c:v>11.673340122424316</c:v>
                </c:pt>
                <c:pt idx="330">
                  <c:v>11.670391325581091</c:v>
                </c:pt>
                <c:pt idx="331">
                  <c:v>11.66754485603971</c:v>
                </c:pt>
                <c:pt idx="332">
                  <c:v>11.664802597990446</c:v>
                </c:pt>
                <c:pt idx="333">
                  <c:v>11.662166394431596</c:v>
                </c:pt>
                <c:pt idx="334">
                  <c:v>11.659638043135917</c:v>
                </c:pt>
                <c:pt idx="335">
                  <c:v>11.657219292621839</c:v>
                </c:pt>
                <c:pt idx="336">
                  <c:v>11.654911838146088</c:v>
                </c:pt>
                <c:pt idx="337">
                  <c:v>11.652717317735128</c:v>
                </c:pt>
                <c:pt idx="338">
                  <c:v>11.650637308272966</c:v>
                </c:pt>
                <c:pt idx="339">
                  <c:v>11.648673321663276</c:v>
                </c:pt>
                <c:pt idx="340">
                  <c:v>11.646826801083852</c:v>
                </c:pt>
                <c:pt idx="341">
                  <c:v>11.645099117351439</c:v>
                </c:pt>
                <c:pt idx="342">
                  <c:v>11.643491565414836</c:v>
                </c:pt>
                <c:pt idx="343">
                  <c:v>11.642005360993954</c:v>
                </c:pt>
                <c:pt idx="344">
                  <c:v>11.640641637382064</c:v>
                </c:pt>
                <c:pt idx="345">
                  <c:v>11.639401442427896</c:v>
                </c:pt>
                <c:pt idx="346">
                  <c:v>11.638285735713691</c:v>
                </c:pt>
                <c:pt idx="347">
                  <c:v>11.637295385944366</c:v>
                </c:pt>
                <c:pt idx="348">
                  <c:v>11.636431168562048</c:v>
                </c:pt>
                <c:pt idx="349">
                  <c:v>11.635693763599225</c:v>
                </c:pt>
                <c:pt idx="350">
                  <c:v>11.635083753782389</c:v>
                </c:pt>
                <c:pt idx="351">
                  <c:v>11.634601622897016</c:v>
                </c:pt>
                <c:pt idx="352">
                  <c:v>11.634247754423056</c:v>
                </c:pt>
                <c:pt idx="353">
                  <c:v>11.634022430448791</c:v>
                </c:pt>
                <c:pt idx="354">
                  <c:v>11.6339258308693</c:v>
                </c:pt>
                <c:pt idx="355">
                  <c:v>11.633958032874181</c:v>
                </c:pt>
                <c:pt idx="356">
                  <c:v>11.634119010727442</c:v>
                </c:pt>
                <c:pt idx="357">
                  <c:v>11.634408635840931</c:v>
                </c:pt>
                <c:pt idx="358">
                  <c:v>11.634826677140756</c:v>
                </c:pt>
                <c:pt idx="359">
                  <c:v>11.635372801724703</c:v>
                </c:pt>
                <c:pt idx="360">
                  <c:v>11.636046575806724</c:v>
                </c:pt>
                <c:pt idx="361">
                  <c:v>11.636847465943163</c:v>
                </c:pt>
                <c:pt idx="362">
                  <c:v>11.637774840533584</c:v>
                </c:pt>
                <c:pt idx="363">
                  <c:v>11.638827971587716</c:v>
                </c:pt>
                <c:pt idx="364">
                  <c:v>11.640006036748467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0-4241-9B39-2F3BC527E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803696"/>
        <c:axId val="1948685104"/>
      </c:scatterChart>
      <c:valAx>
        <c:axId val="194880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8685104"/>
        <c:crosses val="autoZero"/>
        <c:crossBetween val="midCat"/>
      </c:valAx>
      <c:valAx>
        <c:axId val="19486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880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167640</xdr:rowOff>
    </xdr:from>
    <xdr:ext cx="2438400" cy="2636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5F0A9EAF-5024-D9E9-622D-B7A5B8CAF49E}"/>
                </a:ext>
              </a:extLst>
            </xdr:cNvPr>
            <xdr:cNvSpPr txBox="1"/>
          </xdr:nvSpPr>
          <xdr:spPr>
            <a:xfrm>
              <a:off x="1219200" y="1264920"/>
              <a:ext cx="2438400" cy="2636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cos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⁡(</m:t>
                  </m:r>
                </m:oMath>
              </a14:m>
              <a:r>
                <a:rPr lang="el-GR" sz="1100"/>
                <a:t>θ</a:t>
              </a:r>
              <a:r>
                <a:rPr lang="pt-BR" sz="1100"/>
                <a:t>z)=cos(</a:t>
              </a:r>
              <a:r>
                <a:rPr lang="el-GR" sz="1100"/>
                <a:t>λ</a:t>
              </a:r>
              <a:r>
                <a:rPr lang="pt-BR" sz="1100"/>
                <a:t>).cos(</a:t>
              </a:r>
              <a:r>
                <a:rPr lang="el-GR" sz="1100"/>
                <a:t>δ</a:t>
              </a:r>
              <a:r>
                <a:rPr lang="pt-BR" sz="1100"/>
                <a:t>).cos(</a:t>
              </a:r>
              <a:r>
                <a:rPr lang="el-GR" sz="1100"/>
                <a:t>ω</a:t>
              </a:r>
              <a:r>
                <a:rPr lang="pt-BR" sz="1100"/>
                <a:t>)+sen(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λ</a:t>
              </a:r>
              <a:r>
                <a:rPr lang="pt-B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)sen(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</a:t>
              </a:r>
              <a:r>
                <a:rPr lang="pt-B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5F0A9EAF-5024-D9E9-622D-B7A5B8CAF49E}"/>
                </a:ext>
              </a:extLst>
            </xdr:cNvPr>
            <xdr:cNvSpPr txBox="1"/>
          </xdr:nvSpPr>
          <xdr:spPr>
            <a:xfrm>
              <a:off x="1219200" y="1264920"/>
              <a:ext cx="2438400" cy="2636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cos⁡(</a:t>
              </a:r>
              <a:r>
                <a:rPr lang="el-GR" sz="1100"/>
                <a:t>θ</a:t>
              </a:r>
              <a:r>
                <a:rPr lang="pt-BR" sz="1100"/>
                <a:t>z)=cos(</a:t>
              </a:r>
              <a:r>
                <a:rPr lang="el-GR" sz="1100"/>
                <a:t>λ</a:t>
              </a:r>
              <a:r>
                <a:rPr lang="pt-BR" sz="1100"/>
                <a:t>).cos(</a:t>
              </a:r>
              <a:r>
                <a:rPr lang="el-GR" sz="1100"/>
                <a:t>δ</a:t>
              </a:r>
              <a:r>
                <a:rPr lang="pt-BR" sz="1100"/>
                <a:t>).cos(</a:t>
              </a:r>
              <a:r>
                <a:rPr lang="el-GR" sz="1100"/>
                <a:t>ω</a:t>
              </a:r>
              <a:r>
                <a:rPr lang="pt-BR" sz="1100"/>
                <a:t>)+sen(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λ</a:t>
              </a:r>
              <a:r>
                <a:rPr lang="pt-B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)sen(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</a:t>
              </a:r>
              <a:r>
                <a:rPr lang="pt-B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pt-BR" sz="1100"/>
            </a:p>
          </xdr:txBody>
        </xdr:sp>
      </mc:Fallback>
    </mc:AlternateContent>
    <xdr:clientData/>
  </xdr:oneCellAnchor>
  <xdr:twoCellAnchor>
    <xdr:from>
      <xdr:col>28</xdr:col>
      <xdr:colOff>487680</xdr:colOff>
      <xdr:row>3</xdr:row>
      <xdr:rowOff>60960</xdr:rowOff>
    </xdr:from>
    <xdr:to>
      <xdr:col>36</xdr:col>
      <xdr:colOff>182880</xdr:colOff>
      <xdr:row>18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581300-B410-4AD1-8B31-685B968F6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472440</xdr:colOff>
      <xdr:row>3</xdr:row>
      <xdr:rowOff>45720</xdr:rowOff>
    </xdr:from>
    <xdr:to>
      <xdr:col>44</xdr:col>
      <xdr:colOff>167640</xdr:colOff>
      <xdr:row>18</xdr:row>
      <xdr:rowOff>45720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C16C0E5-A4B9-44A0-A42E-6854D94DA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3</xdr:row>
      <xdr:rowOff>0</xdr:rowOff>
    </xdr:from>
    <xdr:to>
      <xdr:col>52</xdr:col>
      <xdr:colOff>304800</xdr:colOff>
      <xdr:row>18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DC9CC12-9714-4793-B71E-AF80DF4CD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0</xdr:colOff>
      <xdr:row>3</xdr:row>
      <xdr:rowOff>0</xdr:rowOff>
    </xdr:from>
    <xdr:to>
      <xdr:col>60</xdr:col>
      <xdr:colOff>304800</xdr:colOff>
      <xdr:row>18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EF1E162-3266-4460-B191-CCE8AE052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9</xdr:col>
      <xdr:colOff>304800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49863D-1B4C-4DE1-A6F0-B9C20105F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43452C-ED70-4FB1-8898-5DDB73DA4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3</xdr:row>
      <xdr:rowOff>0</xdr:rowOff>
    </xdr:from>
    <xdr:to>
      <xdr:col>25</xdr:col>
      <xdr:colOff>304800</xdr:colOff>
      <xdr:row>18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CBAC011-94E2-46B4-8233-0F9FBCCBE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556260</xdr:colOff>
      <xdr:row>1</xdr:row>
      <xdr:rowOff>60960</xdr:rowOff>
    </xdr:from>
    <xdr:to>
      <xdr:col>34</xdr:col>
      <xdr:colOff>251460</xdr:colOff>
      <xdr:row>16</xdr:row>
      <xdr:rowOff>60960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13F9FF-7D57-46B5-A821-038E67128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502920</xdr:colOff>
      <xdr:row>7</xdr:row>
      <xdr:rowOff>45720</xdr:rowOff>
    </xdr:from>
    <xdr:to>
      <xdr:col>42</xdr:col>
      <xdr:colOff>198120</xdr:colOff>
      <xdr:row>22</xdr:row>
      <xdr:rowOff>45720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5490A48-C92F-49DC-B0C7-6AB44D028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</cdr:x>
      <cdr:y>0</cdr:y>
    </cdr:from>
    <cdr:to>
      <cdr:x>0.82667</cdr:x>
      <cdr:y>0.24444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7BC6D91-7422-3AC0-3B43-520F6E306311}"/>
            </a:ext>
          </a:extLst>
        </cdr:cNvPr>
        <cdr:cNvSpPr txBox="1"/>
      </cdr:nvSpPr>
      <cdr:spPr>
        <a:xfrm xmlns:a="http://schemas.openxmlformats.org/drawingml/2006/main">
          <a:off x="822960" y="0"/>
          <a:ext cx="2956560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pt-BR" sz="1400" kern="1200"/>
            <a:t>Duração do dia no plano horizontal e no plano do coletor</a:t>
          </a:r>
        </a:p>
      </cdr:txBody>
    </cdr:sp>
  </cdr:relSizeAnchor>
  <cdr:relSizeAnchor xmlns:cdr="http://schemas.openxmlformats.org/drawingml/2006/chartDrawing">
    <cdr:from>
      <cdr:x>0.8</cdr:x>
      <cdr:y>0.66667</cdr:y>
    </cdr:from>
    <cdr:to>
      <cdr:x>1</cdr:x>
      <cdr:y>1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8ACA8A35-6D5B-666C-1646-DBC4C88DBB50}"/>
            </a:ext>
          </a:extLst>
        </cdr:cNvPr>
        <cdr:cNvSpPr txBox="1"/>
      </cdr:nvSpPr>
      <cdr:spPr>
        <a:xfrm xmlns:a="http://schemas.openxmlformats.org/drawingml/2006/main">
          <a:off x="3764280" y="20726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0.75</cdr:x>
      <cdr:y>0.47222</cdr:y>
    </cdr:from>
    <cdr:to>
      <cdr:x>0.93333</cdr:x>
      <cdr:y>0.68056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42F38753-1670-FAEE-6808-90C080A82502}"/>
            </a:ext>
          </a:extLst>
        </cdr:cNvPr>
        <cdr:cNvSpPr txBox="1"/>
      </cdr:nvSpPr>
      <cdr:spPr>
        <a:xfrm xmlns:a="http://schemas.openxmlformats.org/drawingml/2006/main">
          <a:off x="3429000" y="1295400"/>
          <a:ext cx="838200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 kern="1200"/>
            <a:t>Plano do coletor</a:t>
          </a:r>
        </a:p>
      </cdr:txBody>
    </cdr:sp>
  </cdr:relSizeAnchor>
  <cdr:relSizeAnchor xmlns:cdr="http://schemas.openxmlformats.org/drawingml/2006/chartDrawing">
    <cdr:from>
      <cdr:x>0.13833</cdr:x>
      <cdr:y>0.23611</cdr:y>
    </cdr:from>
    <cdr:to>
      <cdr:x>0.35</cdr:x>
      <cdr:y>0.43056</cdr:y>
    </cdr:to>
    <cdr:sp macro="" textlink="">
      <cdr:nvSpPr>
        <cdr:cNvPr id="5" name="CaixaDeTexto 4">
          <a:extLst xmlns:a="http://schemas.openxmlformats.org/drawingml/2006/main">
            <a:ext uri="{FF2B5EF4-FFF2-40B4-BE49-F238E27FC236}">
              <a16:creationId xmlns:a16="http://schemas.microsoft.com/office/drawing/2014/main" id="{183F1A43-9D43-3C29-5E86-A028959840D5}"/>
            </a:ext>
          </a:extLst>
        </cdr:cNvPr>
        <cdr:cNvSpPr txBox="1"/>
      </cdr:nvSpPr>
      <cdr:spPr>
        <a:xfrm xmlns:a="http://schemas.openxmlformats.org/drawingml/2006/main">
          <a:off x="632460" y="647700"/>
          <a:ext cx="96774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 kern="1200"/>
            <a:t>Plano horizontal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2CEF-0006-4AE9-88D7-F2EA9D515116}">
  <dimension ref="C2:AB417"/>
  <sheetViews>
    <sheetView tabSelected="1" topLeftCell="Q1" workbookViewId="0">
      <selection activeCell="AB6" sqref="AB6"/>
    </sheetView>
  </sheetViews>
  <sheetFormatPr defaultRowHeight="14.4" x14ac:dyDescent="0.3"/>
  <cols>
    <col min="3" max="3" width="14.33203125" customWidth="1"/>
    <col min="5" max="5" width="14.77734375" customWidth="1"/>
    <col min="11" max="11" width="11.33203125" customWidth="1"/>
    <col min="12" max="12" width="15.6640625" customWidth="1"/>
    <col min="13" max="13" width="13.21875" customWidth="1"/>
    <col min="27" max="27" width="12.21875" customWidth="1"/>
    <col min="28" max="28" width="13.33203125" customWidth="1"/>
  </cols>
  <sheetData>
    <row r="2" spans="3:28" x14ac:dyDescent="0.3">
      <c r="X2" t="s">
        <v>31</v>
      </c>
    </row>
    <row r="3" spans="3:28" x14ac:dyDescent="0.3">
      <c r="L3" s="2" t="s">
        <v>13</v>
      </c>
      <c r="R3" s="2" t="s">
        <v>22</v>
      </c>
      <c r="X3" s="2" t="s">
        <v>33</v>
      </c>
    </row>
    <row r="4" spans="3:28" x14ac:dyDescent="0.3">
      <c r="C4" t="s">
        <v>0</v>
      </c>
      <c r="J4" t="s">
        <v>12</v>
      </c>
      <c r="K4" t="s">
        <v>15</v>
      </c>
      <c r="L4" t="s">
        <v>14</v>
      </c>
      <c r="M4" t="s">
        <v>17</v>
      </c>
      <c r="N4" t="s">
        <v>18</v>
      </c>
      <c r="O4" t="s">
        <v>16</v>
      </c>
      <c r="P4" s="3" t="s">
        <v>19</v>
      </c>
      <c r="Q4" t="s">
        <v>19</v>
      </c>
      <c r="S4" s="2" t="s">
        <v>8</v>
      </c>
    </row>
    <row r="5" spans="3:28" x14ac:dyDescent="0.3">
      <c r="P5" t="s">
        <v>20</v>
      </c>
      <c r="Q5" t="s">
        <v>21</v>
      </c>
      <c r="R5" t="s">
        <v>25</v>
      </c>
      <c r="S5" t="s">
        <v>26</v>
      </c>
      <c r="U5" t="s">
        <v>27</v>
      </c>
      <c r="V5" t="s">
        <v>28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</row>
    <row r="6" spans="3:28" x14ac:dyDescent="0.3">
      <c r="C6" t="s">
        <v>1</v>
      </c>
      <c r="D6" t="s">
        <v>23</v>
      </c>
      <c r="F6" t="s">
        <v>2</v>
      </c>
      <c r="J6">
        <v>1</v>
      </c>
      <c r="K6">
        <f>-SIN(23.45*PI()/180)</f>
        <v>-0.39794863130761032</v>
      </c>
      <c r="L6">
        <f>360*(J6+10)/365.25</f>
        <v>10.841889117043122</v>
      </c>
      <c r="M6">
        <f>L6*PI()/180</f>
        <v>0.18922666222854331</v>
      </c>
      <c r="N6">
        <f>COS(M6)</f>
        <v>0.98214999317522911</v>
      </c>
      <c r="O6">
        <f>K6*N6</f>
        <v>-0.39084524552286126</v>
      </c>
      <c r="P6">
        <f>ASIN(O6)</f>
        <v>-0.4015497034447621</v>
      </c>
      <c r="Q6">
        <f>P6*180/PI()</f>
        <v>-23.007103272114684</v>
      </c>
      <c r="R6">
        <f>TAN(P6)</f>
        <v>-0.4246211371594204</v>
      </c>
      <c r="S6">
        <f>TAN(D$19)*R6</f>
        <v>-7.0284995714337203E-2</v>
      </c>
      <c r="T6">
        <f>ACOS(S6)</f>
        <v>1.6411393192810944</v>
      </c>
      <c r="U6">
        <f>T6*180/PI()</f>
        <v>94.030356587779607</v>
      </c>
      <c r="V6">
        <f>U6/15</f>
        <v>6.2686904391853071</v>
      </c>
      <c r="X6">
        <f>TAN(0.109983)*TAN(P6)</f>
        <v>-4.6890325028913077E-2</v>
      </c>
      <c r="Y6">
        <f>ACOS(X6)</f>
        <v>1.6177038518269911</v>
      </c>
      <c r="Z6">
        <f>Y6*180/PI()</f>
        <v>92.68760321174328</v>
      </c>
      <c r="AA6">
        <f>Z6/15</f>
        <v>6.1791735474495519</v>
      </c>
      <c r="AB6">
        <f>24-2*AA6</f>
        <v>11.641652905100896</v>
      </c>
    </row>
    <row r="7" spans="3:28" x14ac:dyDescent="0.3">
      <c r="J7">
        <v>2</v>
      </c>
      <c r="K7">
        <f t="shared" ref="K7:K70" si="0">-SIN(23.45*PI()/180)</f>
        <v>-0.39794863130761032</v>
      </c>
      <c r="L7">
        <f t="shared" ref="L7:L70" si="1">360*(J7+10)/365.25</f>
        <v>11.827515400410677</v>
      </c>
      <c r="M7">
        <f t="shared" ref="M7:M70" si="2">L7*PI()/180</f>
        <v>0.20642908606750179</v>
      </c>
      <c r="N7">
        <f t="shared" ref="N7:N70" si="3">COS(M7)</f>
        <v>0.97876906986492163</v>
      </c>
      <c r="O7">
        <f t="shared" ref="O7:O70" si="4">K7*N7</f>
        <v>-0.38949981171896836</v>
      </c>
      <c r="P7">
        <f t="shared" ref="P7:P70" si="5">ASIN(O7)</f>
        <v>-0.4000884533536414</v>
      </c>
      <c r="Q7">
        <f t="shared" ref="Q7:Q70" si="6">P7*180/PI()</f>
        <v>-22.923379809080362</v>
      </c>
      <c r="R7">
        <f t="shared" ref="R7:R70" si="7">TAN(P7)</f>
        <v>-0.42289748739159594</v>
      </c>
      <c r="S7">
        <f t="shared" ref="S7:S70" si="8">TAN(D$19)*R7</f>
        <v>-6.9999690283347599E-2</v>
      </c>
      <c r="T7">
        <f t="shared" ref="T7:T70" si="9">ACOS(S7)</f>
        <v>1.640853309404692</v>
      </c>
      <c r="U7">
        <f t="shared" ref="U7:U70" si="10">T7*180/PI()</f>
        <v>94.013969428962682</v>
      </c>
      <c r="V7">
        <f t="shared" ref="V7:V70" si="11">U7/15</f>
        <v>6.2675979619308455</v>
      </c>
      <c r="X7">
        <f t="shared" ref="X7:X70" si="12">TAN(0.109983)*TAN(P7)</f>
        <v>-4.6699984768439992E-2</v>
      </c>
      <c r="Y7">
        <f t="shared" ref="Y7:Y70" si="13">ACOS(X7)</f>
        <v>1.6175133028210662</v>
      </c>
      <c r="Z7">
        <f t="shared" ref="Z7:Z70" si="14">Y7*180/PI()</f>
        <v>92.676685557913373</v>
      </c>
      <c r="AA7">
        <f t="shared" ref="AA7:AA70" si="15">Z7/15</f>
        <v>6.1784457038608913</v>
      </c>
      <c r="AB7">
        <f t="shared" ref="AB7:AB70" si="16">24-2*AA7</f>
        <v>11.643108592278217</v>
      </c>
    </row>
    <row r="8" spans="3:28" x14ac:dyDescent="0.3">
      <c r="J8">
        <v>3</v>
      </c>
      <c r="K8">
        <f t="shared" si="0"/>
        <v>-0.39794863130761032</v>
      </c>
      <c r="L8">
        <f t="shared" si="1"/>
        <v>12.813141683778234</v>
      </c>
      <c r="M8">
        <f t="shared" si="2"/>
        <v>0.22363150990646027</v>
      </c>
      <c r="N8">
        <f t="shared" si="3"/>
        <v>0.97509851303996098</v>
      </c>
      <c r="O8">
        <f t="shared" si="4"/>
        <v>-0.38803911865433849</v>
      </c>
      <c r="P8">
        <f t="shared" si="5"/>
        <v>-0.39850304392551472</v>
      </c>
      <c r="Q8">
        <f t="shared" si="6"/>
        <v>-22.832542540048451</v>
      </c>
      <c r="R8">
        <f t="shared" si="7"/>
        <v>-0.42102979038081523</v>
      </c>
      <c r="S8">
        <f t="shared" si="8"/>
        <v>-6.9690541574273526E-2</v>
      </c>
      <c r="T8">
        <f t="shared" si="9"/>
        <v>1.640543403857861</v>
      </c>
      <c r="U8">
        <f t="shared" si="10"/>
        <v>93.996213149081569</v>
      </c>
      <c r="V8">
        <f t="shared" si="11"/>
        <v>6.2664142099387714</v>
      </c>
      <c r="X8">
        <f t="shared" si="12"/>
        <v>-4.6493737570109502E-2</v>
      </c>
      <c r="Y8">
        <f t="shared" si="13"/>
        <v>1.6173068313481647</v>
      </c>
      <c r="Z8">
        <f t="shared" si="14"/>
        <v>92.664855613926264</v>
      </c>
      <c r="AA8">
        <f t="shared" si="15"/>
        <v>6.1776570409284179</v>
      </c>
      <c r="AB8">
        <f t="shared" si="16"/>
        <v>11.644685918143164</v>
      </c>
    </row>
    <row r="9" spans="3:28" x14ac:dyDescent="0.3">
      <c r="J9">
        <v>4</v>
      </c>
      <c r="K9">
        <f t="shared" si="0"/>
        <v>-0.39794863130761032</v>
      </c>
      <c r="L9">
        <f t="shared" si="1"/>
        <v>13.798767967145791</v>
      </c>
      <c r="M9">
        <f t="shared" si="2"/>
        <v>0.24083393374541878</v>
      </c>
      <c r="N9">
        <f t="shared" si="3"/>
        <v>0.97113940887716532</v>
      </c>
      <c r="O9">
        <f t="shared" si="4"/>
        <v>-0.38646359857154972</v>
      </c>
      <c r="P9">
        <f t="shared" si="5"/>
        <v>-0.39679418871761857</v>
      </c>
      <c r="Q9">
        <f t="shared" si="6"/>
        <v>-22.734632348837053</v>
      </c>
      <c r="R9">
        <f t="shared" si="7"/>
        <v>-0.41901945753674374</v>
      </c>
      <c r="S9">
        <f t="shared" si="8"/>
        <v>-6.9357783209310381E-2</v>
      </c>
      <c r="T9">
        <f t="shared" si="9"/>
        <v>1.6402098383521611</v>
      </c>
      <c r="U9">
        <f t="shared" si="10"/>
        <v>93.977101253413821</v>
      </c>
      <c r="V9">
        <f t="shared" si="11"/>
        <v>6.2651400835609214</v>
      </c>
      <c r="X9">
        <f t="shared" si="12"/>
        <v>-4.627173929393933E-2</v>
      </c>
      <c r="Y9">
        <f t="shared" si="13"/>
        <v>1.6170845938866047</v>
      </c>
      <c r="Z9">
        <f t="shared" si="14"/>
        <v>92.652122345329175</v>
      </c>
      <c r="AA9">
        <f t="shared" si="15"/>
        <v>6.1768081563552784</v>
      </c>
      <c r="AB9">
        <f t="shared" si="16"/>
        <v>11.646383687289443</v>
      </c>
    </row>
    <row r="10" spans="3:28" x14ac:dyDescent="0.3">
      <c r="C10" s="1" t="s">
        <v>3</v>
      </c>
      <c r="D10" t="s">
        <v>4</v>
      </c>
      <c r="E10" t="s">
        <v>5</v>
      </c>
      <c r="F10" t="s">
        <v>6</v>
      </c>
      <c r="J10">
        <v>5</v>
      </c>
      <c r="K10">
        <f t="shared" si="0"/>
        <v>-0.39794863130761032</v>
      </c>
      <c r="L10">
        <f t="shared" si="1"/>
        <v>14.784394250513348</v>
      </c>
      <c r="M10">
        <f t="shared" si="2"/>
        <v>0.25803635758437726</v>
      </c>
      <c r="N10">
        <f t="shared" si="3"/>
        <v>0.96689292893915213</v>
      </c>
      <c r="O10">
        <f t="shared" si="4"/>
        <v>-0.38477371769234214</v>
      </c>
      <c r="P10">
        <f t="shared" si="5"/>
        <v>-0.39496265333059555</v>
      </c>
      <c r="Q10">
        <f t="shared" si="6"/>
        <v>-22.629693101131775</v>
      </c>
      <c r="R10">
        <f t="shared" si="7"/>
        <v>-0.41686799483311376</v>
      </c>
      <c r="S10">
        <f t="shared" si="8"/>
        <v>-6.9001664463277698E-2</v>
      </c>
      <c r="T10">
        <f t="shared" si="9"/>
        <v>1.6398528643705885</v>
      </c>
      <c r="U10">
        <f t="shared" si="10"/>
        <v>93.956648150873733</v>
      </c>
      <c r="V10">
        <f t="shared" si="11"/>
        <v>6.2637765433915824</v>
      </c>
      <c r="X10">
        <f t="shared" si="12"/>
        <v>-4.6034156242526325E-2</v>
      </c>
      <c r="Y10">
        <f t="shared" si="13"/>
        <v>1.6168467573924779</v>
      </c>
      <c r="Z10">
        <f t="shared" si="14"/>
        <v>92.638495318001517</v>
      </c>
      <c r="AA10">
        <f t="shared" si="15"/>
        <v>6.1758996878667682</v>
      </c>
      <c r="AB10">
        <f t="shared" si="16"/>
        <v>11.648200624266464</v>
      </c>
    </row>
    <row r="11" spans="3:28" x14ac:dyDescent="0.3">
      <c r="J11">
        <v>6</v>
      </c>
      <c r="K11">
        <f t="shared" si="0"/>
        <v>-0.39794863130761032</v>
      </c>
      <c r="L11">
        <f t="shared" si="1"/>
        <v>15.770020533880903</v>
      </c>
      <c r="M11">
        <f t="shared" si="2"/>
        <v>0.27523878142333574</v>
      </c>
      <c r="N11">
        <f t="shared" si="3"/>
        <v>0.96236032982765451</v>
      </c>
      <c r="O11">
        <f t="shared" si="4"/>
        <v>-0.38296997607965555</v>
      </c>
      <c r="P11">
        <f t="shared" si="5"/>
        <v>-0.39300925431051853</v>
      </c>
      <c r="Q11">
        <f t="shared" si="6"/>
        <v>-22.517771581576369</v>
      </c>
      <c r="R11">
        <f t="shared" si="7"/>
        <v>-0.41457699889686461</v>
      </c>
      <c r="S11">
        <f t="shared" si="8"/>
        <v>-6.8622449616277781E-2</v>
      </c>
      <c r="T11">
        <f t="shared" si="9"/>
        <v>1.6394727485102614</v>
      </c>
      <c r="U11">
        <f t="shared" si="10"/>
        <v>93.934869116350995</v>
      </c>
      <c r="V11">
        <f t="shared" si="11"/>
        <v>6.2623246077567334</v>
      </c>
      <c r="X11">
        <f t="shared" si="12"/>
        <v>-4.5781164729175663E-2</v>
      </c>
      <c r="Y11">
        <f t="shared" si="13"/>
        <v>1.6165934988648323</v>
      </c>
      <c r="Z11">
        <f t="shared" si="14"/>
        <v>92.623984673241722</v>
      </c>
      <c r="AA11">
        <f t="shared" si="15"/>
        <v>6.1749323115494485</v>
      </c>
      <c r="AB11">
        <f t="shared" si="16"/>
        <v>11.650135376901103</v>
      </c>
    </row>
    <row r="12" spans="3:28" x14ac:dyDescent="0.3">
      <c r="C12" t="s">
        <v>7</v>
      </c>
      <c r="F12" t="s">
        <v>8</v>
      </c>
      <c r="G12" t="s">
        <v>9</v>
      </c>
      <c r="J12">
        <v>7</v>
      </c>
      <c r="K12">
        <f t="shared" si="0"/>
        <v>-0.39794863130761032</v>
      </c>
      <c r="L12">
        <f t="shared" si="1"/>
        <v>16.755646817248461</v>
      </c>
      <c r="M12">
        <f t="shared" si="2"/>
        <v>0.29244120526229422</v>
      </c>
      <c r="N12">
        <f t="shared" si="3"/>
        <v>0.9575429528116719</v>
      </c>
      <c r="O12">
        <f t="shared" si="4"/>
        <v>-0.38105290748965254</v>
      </c>
      <c r="P12">
        <f t="shared" si="5"/>
        <v>-0.39093485799262329</v>
      </c>
      <c r="Q12">
        <f t="shared" si="6"/>
        <v>-22.398917427523493</v>
      </c>
      <c r="R12">
        <f t="shared" si="7"/>
        <v>-0.41214815292003137</v>
      </c>
      <c r="S12">
        <f t="shared" si="8"/>
        <v>-6.8220417277015277E-2</v>
      </c>
      <c r="T12">
        <f t="shared" si="9"/>
        <v>1.6390697717954299</v>
      </c>
      <c r="U12">
        <f t="shared" si="10"/>
        <v>93.9117802513491</v>
      </c>
      <c r="V12">
        <f t="shared" si="11"/>
        <v>6.2607853500899404</v>
      </c>
      <c r="X12">
        <f t="shared" si="12"/>
        <v>-4.5512950626456328E-2</v>
      </c>
      <c r="Y12">
        <f t="shared" si="13"/>
        <v>1.6163250048911839</v>
      </c>
      <c r="Z12">
        <f t="shared" si="14"/>
        <v>92.60860110172699</v>
      </c>
      <c r="AA12">
        <f t="shared" si="15"/>
        <v>6.1739067401151324</v>
      </c>
      <c r="AB12">
        <f t="shared" si="16"/>
        <v>11.652186519769735</v>
      </c>
    </row>
    <row r="13" spans="3:28" x14ac:dyDescent="0.3">
      <c r="J13">
        <v>8</v>
      </c>
      <c r="K13">
        <f t="shared" si="0"/>
        <v>-0.39794863130761032</v>
      </c>
      <c r="L13">
        <f t="shared" si="1"/>
        <v>17.741273100616016</v>
      </c>
      <c r="M13">
        <f t="shared" si="2"/>
        <v>0.3096436291012527</v>
      </c>
      <c r="N13">
        <f t="shared" si="3"/>
        <v>0.95244222343056761</v>
      </c>
      <c r="O13">
        <f t="shared" si="4"/>
        <v>-0.37902307921377154</v>
      </c>
      <c r="P13">
        <f t="shared" si="5"/>
        <v>-0.38874037929113225</v>
      </c>
      <c r="Q13">
        <f t="shared" si="6"/>
        <v>-22.273183059696706</v>
      </c>
      <c r="R13">
        <f t="shared" si="7"/>
        <v>-0.40958322241501433</v>
      </c>
      <c r="S13">
        <f t="shared" si="8"/>
        <v>-6.779585968019218E-2</v>
      </c>
      <c r="T13">
        <f t="shared" si="9"/>
        <v>1.6386442289642966</v>
      </c>
      <c r="U13">
        <f t="shared" si="10"/>
        <v>93.887398443123132</v>
      </c>
      <c r="V13">
        <f t="shared" si="11"/>
        <v>6.2591598962082085</v>
      </c>
      <c r="X13">
        <f t="shared" si="12"/>
        <v>-4.5229708897461404E-2</v>
      </c>
      <c r="Y13">
        <f t="shared" si="13"/>
        <v>1.6160414711756521</v>
      </c>
      <c r="Z13">
        <f t="shared" si="14"/>
        <v>92.592355816477351</v>
      </c>
      <c r="AA13">
        <f t="shared" si="15"/>
        <v>6.1728237210984904</v>
      </c>
      <c r="AB13">
        <f t="shared" si="16"/>
        <v>11.654352557803019</v>
      </c>
    </row>
    <row r="14" spans="3:28" x14ac:dyDescent="0.3">
      <c r="C14" t="s">
        <v>32</v>
      </c>
      <c r="J14">
        <v>9</v>
      </c>
      <c r="K14">
        <f t="shared" si="0"/>
        <v>-0.39794863130761032</v>
      </c>
      <c r="L14">
        <f t="shared" si="1"/>
        <v>18.726899383983572</v>
      </c>
      <c r="M14">
        <f t="shared" si="2"/>
        <v>0.32684605294021118</v>
      </c>
      <c r="N14">
        <f t="shared" si="3"/>
        <v>0.94705965107222834</v>
      </c>
      <c r="O14">
        <f t="shared" si="4"/>
        <v>-0.37688109191085628</v>
      </c>
      <c r="P14">
        <f t="shared" si="5"/>
        <v>-0.38642678043967577</v>
      </c>
      <c r="Q14">
        <f t="shared" si="6"/>
        <v>-22.140623610021933</v>
      </c>
      <c r="R14">
        <f t="shared" si="7"/>
        <v>-0.40688405083421236</v>
      </c>
      <c r="S14">
        <f t="shared" si="8"/>
        <v>-6.7349081961452048E-2</v>
      </c>
      <c r="T14">
        <f t="shared" si="9"/>
        <v>1.6381964277331895</v>
      </c>
      <c r="U14">
        <f t="shared" si="10"/>
        <v>93.861741322519933</v>
      </c>
      <c r="V14">
        <f t="shared" si="11"/>
        <v>6.2574494215013292</v>
      </c>
      <c r="X14">
        <f t="shared" si="12"/>
        <v>-4.4931643112090268E-2</v>
      </c>
      <c r="Y14">
        <f t="shared" si="13"/>
        <v>1.6157431020520607</v>
      </c>
      <c r="Z14">
        <f t="shared" si="14"/>
        <v>92.575260524958537</v>
      </c>
      <c r="AA14">
        <f t="shared" si="15"/>
        <v>6.1716840349972362</v>
      </c>
      <c r="AB14">
        <f t="shared" si="16"/>
        <v>11.656631930005528</v>
      </c>
    </row>
    <row r="15" spans="3:28" x14ac:dyDescent="0.3">
      <c r="C15" t="s">
        <v>10</v>
      </c>
      <c r="D15" t="s">
        <v>11</v>
      </c>
      <c r="J15">
        <v>10</v>
      </c>
      <c r="K15">
        <f t="shared" si="0"/>
        <v>-0.39794863130761032</v>
      </c>
      <c r="L15">
        <f t="shared" si="1"/>
        <v>19.71252566735113</v>
      </c>
      <c r="M15">
        <f t="shared" si="2"/>
        <v>0.34404847677916967</v>
      </c>
      <c r="N15">
        <f t="shared" si="3"/>
        <v>0.94139682852641215</v>
      </c>
      <c r="O15">
        <f t="shared" si="4"/>
        <v>-0.37462757942941083</v>
      </c>
      <c r="P15">
        <f t="shared" si="5"/>
        <v>-0.38399506968691638</v>
      </c>
      <c r="Q15">
        <f t="shared" si="6"/>
        <v>-22.001296846892242</v>
      </c>
      <c r="R15">
        <f t="shared" si="7"/>
        <v>-0.40405255507519594</v>
      </c>
      <c r="S15">
        <f t="shared" si="8"/>
        <v>-6.6880401413378157E-2</v>
      </c>
      <c r="T15">
        <f t="shared" si="9"/>
        <v>1.6377266880416641</v>
      </c>
      <c r="U15">
        <f t="shared" si="10"/>
        <v>93.834827220725742</v>
      </c>
      <c r="V15">
        <f t="shared" si="11"/>
        <v>6.2556551480483824</v>
      </c>
      <c r="X15">
        <f t="shared" si="12"/>
        <v>-4.4618964950691009E-2</v>
      </c>
      <c r="Y15">
        <f t="shared" si="13"/>
        <v>1.61543010998436</v>
      </c>
      <c r="Z15">
        <f t="shared" si="14"/>
        <v>92.55732740045822</v>
      </c>
      <c r="AA15">
        <f t="shared" si="15"/>
        <v>6.1704884933638811</v>
      </c>
      <c r="AB15">
        <f t="shared" si="16"/>
        <v>11.659023013272238</v>
      </c>
    </row>
    <row r="16" spans="3:28" x14ac:dyDescent="0.3">
      <c r="J16">
        <v>11</v>
      </c>
      <c r="K16">
        <f t="shared" si="0"/>
        <v>-0.39794863130761032</v>
      </c>
      <c r="L16">
        <f t="shared" si="1"/>
        <v>20.698151950718685</v>
      </c>
      <c r="M16">
        <f t="shared" si="2"/>
        <v>0.3612509006181282</v>
      </c>
      <c r="N16">
        <f t="shared" si="3"/>
        <v>0.93545543151341637</v>
      </c>
      <c r="O16">
        <f t="shared" si="4"/>
        <v>-0.37226320862003404</v>
      </c>
      <c r="P16">
        <f t="shared" si="5"/>
        <v>-0.38144629995205276</v>
      </c>
      <c r="Q16">
        <f t="shared" si="6"/>
        <v>-21.855263098133879</v>
      </c>
      <c r="R16">
        <f t="shared" si="7"/>
        <v>-0.40109072089263037</v>
      </c>
      <c r="S16">
        <f t="shared" si="8"/>
        <v>-6.6390146726056642E-2</v>
      </c>
      <c r="T16">
        <f t="shared" si="9"/>
        <v>1.6372353412821108</v>
      </c>
      <c r="U16">
        <f t="shared" si="10"/>
        <v>93.806675125125906</v>
      </c>
      <c r="V16">
        <f t="shared" si="11"/>
        <v>6.2537783416750603</v>
      </c>
      <c r="X16">
        <f t="shared" si="12"/>
        <v>-4.4291893697405514E-2</v>
      </c>
      <c r="Y16">
        <f t="shared" si="13"/>
        <v>1.6151027150567341</v>
      </c>
      <c r="Z16">
        <f t="shared" si="14"/>
        <v>92.538569052871253</v>
      </c>
      <c r="AA16">
        <f t="shared" si="15"/>
        <v>6.1692379368580834</v>
      </c>
      <c r="AB16">
        <f t="shared" si="16"/>
        <v>11.661524126283833</v>
      </c>
    </row>
    <row r="17" spans="3:28" x14ac:dyDescent="0.3">
      <c r="C17" t="s">
        <v>24</v>
      </c>
      <c r="J17">
        <v>12</v>
      </c>
      <c r="K17">
        <f t="shared" si="0"/>
        <v>-0.39794863130761032</v>
      </c>
      <c r="L17">
        <f t="shared" si="1"/>
        <v>21.683778234086244</v>
      </c>
      <c r="M17">
        <f t="shared" si="2"/>
        <v>0.37845332445708663</v>
      </c>
      <c r="N17">
        <f t="shared" si="3"/>
        <v>0.92923721818820515</v>
      </c>
      <c r="O17">
        <f t="shared" si="4"/>
        <v>-0.36978867913808749</v>
      </c>
      <c r="P17">
        <f t="shared" si="5"/>
        <v>-0.37878156744492264</v>
      </c>
      <c r="Q17">
        <f t="shared" si="6"/>
        <v>-21.702585171944008</v>
      </c>
      <c r="R17">
        <f t="shared" si="7"/>
        <v>-0.39800059823804285</v>
      </c>
      <c r="S17">
        <f t="shared" si="8"/>
        <v>-6.5878657215695982E-2</v>
      </c>
      <c r="T17">
        <f t="shared" si="9"/>
        <v>1.6367227295174287</v>
      </c>
      <c r="U17">
        <f t="shared" si="10"/>
        <v>93.777304634480871</v>
      </c>
      <c r="V17">
        <f t="shared" si="11"/>
        <v>6.2518203089653914</v>
      </c>
      <c r="X17">
        <f t="shared" si="12"/>
        <v>-4.3950655725546336E-2</v>
      </c>
      <c r="Y17">
        <f t="shared" si="13"/>
        <v>1.614761144455743</v>
      </c>
      <c r="Z17">
        <f t="shared" si="14"/>
        <v>92.51899849902874</v>
      </c>
      <c r="AA17">
        <f t="shared" si="15"/>
        <v>6.1679332332685828</v>
      </c>
      <c r="AB17">
        <f t="shared" si="16"/>
        <v>11.664133533462834</v>
      </c>
    </row>
    <row r="18" spans="3:28" x14ac:dyDescent="0.3">
      <c r="C18" t="s">
        <v>24</v>
      </c>
      <c r="D18">
        <f>23/60</f>
        <v>0.38333333333333336</v>
      </c>
      <c r="E18">
        <f>55/3600</f>
        <v>1.5277777777777777E-2</v>
      </c>
      <c r="F18" s="2">
        <f>9.383333+E18</f>
        <v>9.3986107777777779</v>
      </c>
      <c r="J18">
        <v>13</v>
      </c>
      <c r="K18">
        <f t="shared" si="0"/>
        <v>-0.39794863130761032</v>
      </c>
      <c r="L18">
        <f t="shared" si="1"/>
        <v>22.669404517453799</v>
      </c>
      <c r="M18">
        <f t="shared" si="2"/>
        <v>0.39565574829604511</v>
      </c>
      <c r="N18">
        <f t="shared" si="3"/>
        <v>0.92274402862014271</v>
      </c>
      <c r="O18">
        <f t="shared" si="4"/>
        <v>-0.36720472323665621</v>
      </c>
      <c r="P18">
        <f t="shared" si="5"/>
        <v>-0.37600201025543978</v>
      </c>
      <c r="Q18">
        <f t="shared" si="6"/>
        <v>-21.543328276071396</v>
      </c>
      <c r="R18">
        <f t="shared" si="7"/>
        <v>-0.39478429654826441</v>
      </c>
      <c r="S18">
        <f t="shared" si="8"/>
        <v>-6.5346282044751014E-2</v>
      </c>
      <c r="T18">
        <f t="shared" si="9"/>
        <v>1.6361892046902746</v>
      </c>
      <c r="U18">
        <f t="shared" si="10"/>
        <v>93.746735913619489</v>
      </c>
      <c r="V18">
        <f t="shared" si="11"/>
        <v>6.2497823942412989</v>
      </c>
      <c r="X18">
        <f t="shared" si="12"/>
        <v>-4.35954839773059E-2</v>
      </c>
      <c r="Y18">
        <f t="shared" si="13"/>
        <v>1.6144056319468163</v>
      </c>
      <c r="Z18">
        <f t="shared" si="14"/>
        <v>92.49862913270313</v>
      </c>
      <c r="AA18">
        <f t="shared" si="15"/>
        <v>6.1665752755135417</v>
      </c>
      <c r="AB18">
        <f t="shared" si="16"/>
        <v>11.666849448972917</v>
      </c>
    </row>
    <row r="19" spans="3:28" x14ac:dyDescent="0.3">
      <c r="C19" t="s">
        <v>20</v>
      </c>
      <c r="D19" s="2">
        <f>F18*PI()/180</f>
        <v>0.16403670318564734</v>
      </c>
      <c r="J19">
        <v>14</v>
      </c>
      <c r="K19">
        <f t="shared" si="0"/>
        <v>-0.39794863130761032</v>
      </c>
      <c r="L19">
        <f t="shared" si="1"/>
        <v>23.655030800821354</v>
      </c>
      <c r="M19">
        <f t="shared" si="2"/>
        <v>0.41285817213500359</v>
      </c>
      <c r="N19">
        <f t="shared" si="3"/>
        <v>0.91597778424848775</v>
      </c>
      <c r="O19">
        <f t="shared" si="4"/>
        <v>-0.3645121055498633</v>
      </c>
      <c r="P19">
        <f t="shared" si="5"/>
        <v>-0.37310880691709353</v>
      </c>
      <c r="Q19">
        <f t="shared" si="6"/>
        <v>-21.377559935510998</v>
      </c>
      <c r="R19">
        <f t="shared" si="7"/>
        <v>-0.3914439800029833</v>
      </c>
      <c r="S19">
        <f t="shared" si="8"/>
        <v>-6.4793379436934126E-2</v>
      </c>
      <c r="T19">
        <f t="shared" si="9"/>
        <v>1.6356351278273329</v>
      </c>
      <c r="U19">
        <f t="shared" si="10"/>
        <v>93.714989647847077</v>
      </c>
      <c r="V19">
        <f t="shared" si="11"/>
        <v>6.2476659765231384</v>
      </c>
      <c r="X19">
        <f t="shared" si="12"/>
        <v>-4.3226617440054647E-2</v>
      </c>
      <c r="Y19">
        <f t="shared" si="13"/>
        <v>1.6140364173473756</v>
      </c>
      <c r="Z19">
        <f t="shared" si="14"/>
        <v>92.47747469442055</v>
      </c>
      <c r="AA19">
        <f t="shared" si="15"/>
        <v>6.1651649796280363</v>
      </c>
      <c r="AB19">
        <f t="shared" si="16"/>
        <v>11.669670040743927</v>
      </c>
    </row>
    <row r="20" spans="3:28" x14ac:dyDescent="0.3">
      <c r="J20">
        <v>15</v>
      </c>
      <c r="K20">
        <f t="shared" si="0"/>
        <v>-0.39794863130761032</v>
      </c>
      <c r="L20">
        <f t="shared" si="1"/>
        <v>24.640657084188913</v>
      </c>
      <c r="M20">
        <f t="shared" si="2"/>
        <v>0.43006059597396212</v>
      </c>
      <c r="N20">
        <f t="shared" si="3"/>
        <v>0.90894048731380805</v>
      </c>
      <c r="O20">
        <f t="shared" si="4"/>
        <v>-0.36171162286660224</v>
      </c>
      <c r="P20">
        <f t="shared" si="5"/>
        <v>-0.37010317494920114</v>
      </c>
      <c r="Q20">
        <f t="shared" si="6"/>
        <v>-21.205349908981162</v>
      </c>
      <c r="R20">
        <f t="shared" si="7"/>
        <v>-0.38798186277131641</v>
      </c>
      <c r="S20">
        <f t="shared" si="8"/>
        <v>-6.4220315890408691E-2</v>
      </c>
      <c r="T20">
        <f t="shared" si="9"/>
        <v>1.6350608682419574</v>
      </c>
      <c r="U20">
        <f t="shared" si="10"/>
        <v>93.682086997260143</v>
      </c>
      <c r="V20">
        <f t="shared" si="11"/>
        <v>6.2454724664840091</v>
      </c>
      <c r="X20">
        <f t="shared" si="12"/>
        <v>-4.2844300621426482E-2</v>
      </c>
      <c r="Y20">
        <f t="shared" si="13"/>
        <v>1.613653745998799</v>
      </c>
      <c r="Z20">
        <f t="shared" si="14"/>
        <v>92.455549241206526</v>
      </c>
      <c r="AA20">
        <f t="shared" si="15"/>
        <v>6.1637032827471021</v>
      </c>
      <c r="AB20">
        <f t="shared" si="16"/>
        <v>11.672593434505796</v>
      </c>
    </row>
    <row r="21" spans="3:28" x14ac:dyDescent="0.3">
      <c r="C21" t="s">
        <v>29</v>
      </c>
      <c r="J21">
        <v>16</v>
      </c>
      <c r="K21">
        <f t="shared" si="0"/>
        <v>-0.39794863130761032</v>
      </c>
      <c r="L21">
        <f t="shared" si="1"/>
        <v>25.626283367556468</v>
      </c>
      <c r="M21">
        <f t="shared" si="2"/>
        <v>0.44726301981292055</v>
      </c>
      <c r="N21">
        <f t="shared" si="3"/>
        <v>0.90163422026548601</v>
      </c>
      <c r="O21">
        <f t="shared" si="4"/>
        <v>-0.35880410389475459</v>
      </c>
      <c r="P21">
        <f t="shared" si="5"/>
        <v>-0.36698636938254731</v>
      </c>
      <c r="Q21">
        <f t="shared" si="6"/>
        <v>-21.026770104449017</v>
      </c>
      <c r="R21">
        <f t="shared" si="7"/>
        <v>-0.38440020426666704</v>
      </c>
      <c r="S21">
        <f t="shared" si="8"/>
        <v>-6.3627465392354032E-2</v>
      </c>
      <c r="T21">
        <f t="shared" si="9"/>
        <v>1.6344668027384284</v>
      </c>
      <c r="U21">
        <f t="shared" si="10"/>
        <v>93.648049551153605</v>
      </c>
      <c r="V21">
        <f t="shared" si="11"/>
        <v>6.2432033034102403</v>
      </c>
      <c r="X21">
        <f t="shared" si="12"/>
        <v>-4.2448783025319334E-2</v>
      </c>
      <c r="Y21">
        <f t="shared" si="13"/>
        <v>1.6132578682393721</v>
      </c>
      <c r="Z21">
        <f t="shared" si="14"/>
        <v>92.43286711638828</v>
      </c>
      <c r="AA21">
        <f t="shared" si="15"/>
        <v>6.1621911410925518</v>
      </c>
      <c r="AB21">
        <f t="shared" si="16"/>
        <v>11.675617717814896</v>
      </c>
    </row>
    <row r="22" spans="3:28" x14ac:dyDescent="0.3">
      <c r="J22">
        <v>17</v>
      </c>
      <c r="K22">
        <f t="shared" si="0"/>
        <v>-0.39794863130761032</v>
      </c>
      <c r="L22">
        <f t="shared" si="1"/>
        <v>26.611909650924023</v>
      </c>
      <c r="M22">
        <f t="shared" si="2"/>
        <v>0.46446544365187903</v>
      </c>
      <c r="N22">
        <f t="shared" si="3"/>
        <v>0.89406114514548762</v>
      </c>
      <c r="O22">
        <f t="shared" si="4"/>
        <v>-0.35579040901596154</v>
      </c>
      <c r="P22">
        <f t="shared" si="5"/>
        <v>-0.3637596812729646</v>
      </c>
      <c r="Q22">
        <f t="shared" si="6"/>
        <v>-20.84189449396488</v>
      </c>
      <c r="R22">
        <f t="shared" si="7"/>
        <v>-0.38070130442838873</v>
      </c>
      <c r="S22">
        <f t="shared" si="8"/>
        <v>-6.3015208637967474E-2</v>
      </c>
      <c r="T22">
        <f t="shared" si="9"/>
        <v>1.6338533148209418</v>
      </c>
      <c r="U22">
        <f t="shared" si="10"/>
        <v>93.61289928269936</v>
      </c>
      <c r="V22">
        <f t="shared" si="11"/>
        <v>6.2408599521799575</v>
      </c>
      <c r="X22">
        <f t="shared" si="12"/>
        <v>-4.2040318630855743E-2</v>
      </c>
      <c r="Y22">
        <f t="shared" si="13"/>
        <v>1.612849038880287</v>
      </c>
      <c r="Z22">
        <f t="shared" si="14"/>
        <v>92.40944291957166</v>
      </c>
      <c r="AA22">
        <f t="shared" si="15"/>
        <v>6.1606295279714436</v>
      </c>
      <c r="AB22">
        <f t="shared" si="16"/>
        <v>11.678740944057113</v>
      </c>
    </row>
    <row r="23" spans="3:28" x14ac:dyDescent="0.3">
      <c r="C23" t="s">
        <v>30</v>
      </c>
      <c r="D23">
        <f>15-F18</f>
        <v>5.6013892222222221</v>
      </c>
      <c r="E23" t="s">
        <v>21</v>
      </c>
      <c r="J23">
        <v>18</v>
      </c>
      <c r="K23">
        <f t="shared" si="0"/>
        <v>-0.39794863130761032</v>
      </c>
      <c r="L23">
        <f t="shared" si="1"/>
        <v>27.597535934291582</v>
      </c>
      <c r="M23">
        <f t="shared" si="2"/>
        <v>0.48166786749083756</v>
      </c>
      <c r="N23">
        <f t="shared" si="3"/>
        <v>0.88622350294857999</v>
      </c>
      <c r="O23">
        <f t="shared" si="4"/>
        <v>-0.35267143003102336</v>
      </c>
      <c r="P23">
        <f t="shared" si="5"/>
        <v>-0.36042443620730752</v>
      </c>
      <c r="Q23">
        <f t="shared" si="6"/>
        <v>-20.650799028060895</v>
      </c>
      <c r="R23">
        <f t="shared" si="7"/>
        <v>-0.376887499047934</v>
      </c>
      <c r="S23">
        <f t="shared" si="8"/>
        <v>-6.2383932256829776E-2</v>
      </c>
      <c r="T23">
        <f t="shared" si="9"/>
        <v>1.6332207939102974</v>
      </c>
      <c r="U23">
        <f t="shared" si="10"/>
        <v>93.576658504065676</v>
      </c>
      <c r="V23">
        <f t="shared" si="11"/>
        <v>6.2384439002710455</v>
      </c>
      <c r="X23">
        <f t="shared" si="12"/>
        <v>-4.1619165376255984E-2</v>
      </c>
      <c r="Y23">
        <f t="shared" si="13"/>
        <v>1.6124275166866495</v>
      </c>
      <c r="Z23">
        <f t="shared" si="14"/>
        <v>92.385291476905138</v>
      </c>
      <c r="AA23">
        <f t="shared" si="15"/>
        <v>6.1590194317936762</v>
      </c>
      <c r="AB23">
        <f t="shared" si="16"/>
        <v>11.681961136412648</v>
      </c>
    </row>
    <row r="24" spans="3:28" x14ac:dyDescent="0.3">
      <c r="C24" t="s">
        <v>20</v>
      </c>
      <c r="D24" s="2">
        <f>D23*PI()/160</f>
        <v>0.10998302019018986</v>
      </c>
      <c r="J24">
        <v>19</v>
      </c>
      <c r="K24">
        <f t="shared" si="0"/>
        <v>-0.39794863130761032</v>
      </c>
      <c r="L24">
        <f t="shared" si="1"/>
        <v>28.583162217659137</v>
      </c>
      <c r="M24">
        <f t="shared" si="2"/>
        <v>0.49887029132979605</v>
      </c>
      <c r="N24">
        <f t="shared" si="3"/>
        <v>0.87812361295918484</v>
      </c>
      <c r="O24">
        <f t="shared" si="4"/>
        <v>-0.34944808989600135</v>
      </c>
      <c r="P24">
        <f t="shared" si="5"/>
        <v>-0.35698199280615239</v>
      </c>
      <c r="Q24">
        <f t="shared" si="6"/>
        <v>-20.453561549962046</v>
      </c>
      <c r="R24">
        <f t="shared" si="7"/>
        <v>-0.37296115515624256</v>
      </c>
      <c r="S24">
        <f t="shared" si="8"/>
        <v>-6.173402804940701E-2</v>
      </c>
      <c r="T24">
        <f t="shared" si="9"/>
        <v>1.6325696345711054</v>
      </c>
      <c r="U24">
        <f t="shared" si="10"/>
        <v>93.539349822139428</v>
      </c>
      <c r="V24">
        <f t="shared" si="11"/>
        <v>6.2359566548092955</v>
      </c>
      <c r="X24">
        <f t="shared" si="12"/>
        <v>-4.1185584649473701E-2</v>
      </c>
      <c r="Y24">
        <f t="shared" si="13"/>
        <v>1.6119935638653651</v>
      </c>
      <c r="Z24">
        <f t="shared" si="14"/>
        <v>92.36042781173775</v>
      </c>
      <c r="AA24">
        <f t="shared" si="15"/>
        <v>6.1573618541158499</v>
      </c>
      <c r="AB24">
        <f t="shared" si="16"/>
        <v>11.6852762917683</v>
      </c>
    </row>
    <row r="25" spans="3:28" x14ac:dyDescent="0.3">
      <c r="J25">
        <v>20</v>
      </c>
      <c r="K25">
        <f t="shared" si="0"/>
        <v>-0.39794863130761032</v>
      </c>
      <c r="L25">
        <f t="shared" si="1"/>
        <v>29.568788501026695</v>
      </c>
      <c r="M25">
        <f t="shared" si="2"/>
        <v>0.51607271516875453</v>
      </c>
      <c r="N25">
        <f t="shared" si="3"/>
        <v>0.86976387206506456</v>
      </c>
      <c r="O25">
        <f t="shared" si="4"/>
        <v>-0.34612134244909992</v>
      </c>
      <c r="P25">
        <f t="shared" si="5"/>
        <v>-0.3534337412274155</v>
      </c>
      <c r="Q25">
        <f t="shared" si="6"/>
        <v>-20.250261709849791</v>
      </c>
      <c r="R25">
        <f t="shared" si="7"/>
        <v>-0.36892466648812977</v>
      </c>
      <c r="S25">
        <f t="shared" si="8"/>
        <v>-6.1065892236298006E-2</v>
      </c>
      <c r="T25">
        <f t="shared" si="9"/>
        <v>1.6319002357521517</v>
      </c>
      <c r="U25">
        <f t="shared" si="10"/>
        <v>93.50099609500235</v>
      </c>
      <c r="V25">
        <f t="shared" si="11"/>
        <v>6.2333997396668233</v>
      </c>
      <c r="X25">
        <f t="shared" si="12"/>
        <v>-4.0739840787334614E-2</v>
      </c>
      <c r="Y25">
        <f t="shared" si="13"/>
        <v>1.6115474455616452</v>
      </c>
      <c r="Z25">
        <f t="shared" si="14"/>
        <v>92.334867115771061</v>
      </c>
      <c r="AA25">
        <f t="shared" si="15"/>
        <v>6.1556578077180708</v>
      </c>
      <c r="AB25">
        <f t="shared" si="16"/>
        <v>11.688684384563858</v>
      </c>
    </row>
    <row r="26" spans="3:28" x14ac:dyDescent="0.3">
      <c r="C26" s="2" t="s">
        <v>33</v>
      </c>
      <c r="J26">
        <v>21</v>
      </c>
      <c r="K26">
        <f t="shared" si="0"/>
        <v>-0.39794863130761032</v>
      </c>
      <c r="L26">
        <f t="shared" si="1"/>
        <v>30.55441478439425</v>
      </c>
      <c r="M26">
        <f t="shared" si="2"/>
        <v>0.53327513900771306</v>
      </c>
      <c r="N26">
        <f t="shared" si="3"/>
        <v>0.86114675404804508</v>
      </c>
      <c r="O26">
        <f t="shared" si="4"/>
        <v>-0.34269217212841085</v>
      </c>
      <c r="P26">
        <f t="shared" si="5"/>
        <v>-0.3497811016749337</v>
      </c>
      <c r="Q26">
        <f t="shared" si="6"/>
        <v>-20.040980879410032</v>
      </c>
      <c r="R26">
        <f t="shared" si="7"/>
        <v>-0.36478044903839041</v>
      </c>
      <c r="S26">
        <f t="shared" si="8"/>
        <v>-6.0379924722662771E-2</v>
      </c>
      <c r="T26">
        <f t="shared" si="9"/>
        <v>1.6312130000423921</v>
      </c>
      <c r="U26">
        <f t="shared" si="10"/>
        <v>93.461620389302453</v>
      </c>
      <c r="V26">
        <f t="shared" si="11"/>
        <v>6.2307746926201633</v>
      </c>
      <c r="X26">
        <f t="shared" si="12"/>
        <v>-4.0282200584803161E-2</v>
      </c>
      <c r="Y26">
        <f t="shared" si="13"/>
        <v>1.6110894293657771</v>
      </c>
      <c r="Z26">
        <f t="shared" si="14"/>
        <v>92.308624720799187</v>
      </c>
      <c r="AA26">
        <f t="shared" si="15"/>
        <v>6.1539083147199456</v>
      </c>
      <c r="AB26">
        <f t="shared" si="16"/>
        <v>11.692183370560109</v>
      </c>
    </row>
    <row r="27" spans="3:28" x14ac:dyDescent="0.3">
      <c r="J27">
        <v>22</v>
      </c>
      <c r="K27">
        <f t="shared" si="0"/>
        <v>-0.39794863130761032</v>
      </c>
      <c r="L27">
        <f t="shared" si="1"/>
        <v>31.540041067761805</v>
      </c>
      <c r="M27">
        <f t="shared" si="2"/>
        <v>0.55047756284667149</v>
      </c>
      <c r="N27">
        <f t="shared" si="3"/>
        <v>0.85227480885198381</v>
      </c>
      <c r="O27">
        <f t="shared" si="4"/>
        <v>-0.33916159368060217</v>
      </c>
      <c r="P27">
        <f t="shared" si="5"/>
        <v>-0.34602552291587746</v>
      </c>
      <c r="Q27">
        <f t="shared" si="6"/>
        <v>-19.825802066887128</v>
      </c>
      <c r="R27">
        <f t="shared" si="7"/>
        <v>-0.36053093672322967</v>
      </c>
      <c r="S27">
        <f t="shared" si="8"/>
        <v>-5.967652838008513E-2</v>
      </c>
      <c r="T27">
        <f t="shared" si="9"/>
        <v>1.6305083329448522</v>
      </c>
      <c r="U27">
        <f t="shared" si="10"/>
        <v>93.42124593865168</v>
      </c>
      <c r="V27">
        <f t="shared" si="11"/>
        <v>6.2280830625767782</v>
      </c>
      <c r="X27">
        <f t="shared" si="12"/>
        <v>-3.9812932815880379E-2</v>
      </c>
      <c r="Y27">
        <f t="shared" si="13"/>
        <v>1.610619784831661</v>
      </c>
      <c r="Z27">
        <f t="shared" si="14"/>
        <v>92.281716071122943</v>
      </c>
      <c r="AA27">
        <f t="shared" si="15"/>
        <v>6.1521144047415293</v>
      </c>
      <c r="AB27">
        <f t="shared" si="16"/>
        <v>11.695771190516941</v>
      </c>
    </row>
    <row r="28" spans="3:28" x14ac:dyDescent="0.3">
      <c r="C28" t="s">
        <v>34</v>
      </c>
      <c r="D28" t="s">
        <v>35</v>
      </c>
      <c r="J28">
        <v>23</v>
      </c>
      <c r="K28">
        <f t="shared" si="0"/>
        <v>-0.39794863130761032</v>
      </c>
      <c r="L28">
        <f t="shared" si="1"/>
        <v>32.525667351129364</v>
      </c>
      <c r="M28">
        <f t="shared" si="2"/>
        <v>0.56767998668562991</v>
      </c>
      <c r="N28">
        <f t="shared" si="3"/>
        <v>0.84315066182820009</v>
      </c>
      <c r="O28">
        <f t="shared" si="4"/>
        <v>-0.33553065186063802</v>
      </c>
      <c r="P28">
        <f t="shared" si="5"/>
        <v>-0.34216848081069179</v>
      </c>
      <c r="Q28">
        <f t="shared" si="6"/>
        <v>-19.604809832855736</v>
      </c>
      <c r="R28">
        <f t="shared" si="7"/>
        <v>-0.35617857715951073</v>
      </c>
      <c r="S28">
        <f t="shared" si="8"/>
        <v>-5.8956108347936825E-2</v>
      </c>
      <c r="T28">
        <f t="shared" si="9"/>
        <v>1.6297866421705234</v>
      </c>
      <c r="U28">
        <f t="shared" si="10"/>
        <v>93.379896103169102</v>
      </c>
      <c r="V28">
        <f t="shared" si="11"/>
        <v>6.2253264068779401</v>
      </c>
      <c r="X28">
        <f t="shared" si="12"/>
        <v>-3.9332307767512009E-2</v>
      </c>
      <c r="Y28">
        <f t="shared" si="13"/>
        <v>1.610138783008505</v>
      </c>
      <c r="Z28">
        <f t="shared" si="14"/>
        <v>92.254156696717999</v>
      </c>
      <c r="AA28">
        <f t="shared" si="15"/>
        <v>6.1502771131145328</v>
      </c>
      <c r="AB28">
        <f t="shared" si="16"/>
        <v>11.699445773770934</v>
      </c>
    </row>
    <row r="29" spans="3:28" x14ac:dyDescent="0.3">
      <c r="J29">
        <v>24</v>
      </c>
      <c r="K29">
        <f t="shared" si="0"/>
        <v>-0.39794863130761032</v>
      </c>
      <c r="L29">
        <f t="shared" si="1"/>
        <v>33.511293634496923</v>
      </c>
      <c r="M29">
        <f t="shared" si="2"/>
        <v>0.58488241052458845</v>
      </c>
      <c r="N29">
        <f t="shared" si="3"/>
        <v>0.83377701295859152</v>
      </c>
      <c r="O29">
        <f t="shared" si="4"/>
        <v>-0.33180042112261915</v>
      </c>
      <c r="P29">
        <f t="shared" si="5"/>
        <v>-0.3382114768590696</v>
      </c>
      <c r="Q29">
        <f t="shared" si="6"/>
        <v>-19.378090206911196</v>
      </c>
      <c r="R29">
        <f t="shared" si="7"/>
        <v>-0.35172582757315546</v>
      </c>
      <c r="S29">
        <f t="shared" si="8"/>
        <v>-5.8219071356119582E-2</v>
      </c>
      <c r="T29">
        <f t="shared" si="9"/>
        <v>1.6290483369541493</v>
      </c>
      <c r="U29">
        <f t="shared" si="10"/>
        <v>93.337594330278378</v>
      </c>
      <c r="V29">
        <f t="shared" si="11"/>
        <v>6.2225062886852252</v>
      </c>
      <c r="X29">
        <f t="shared" si="12"/>
        <v>-3.8840596787758856E-2</v>
      </c>
      <c r="Y29">
        <f t="shared" si="13"/>
        <v>1.6096466959869318</v>
      </c>
      <c r="Z29">
        <f t="shared" si="14"/>
        <v>92.225962187228689</v>
      </c>
      <c r="AA29">
        <f t="shared" si="15"/>
        <v>6.1483974791485796</v>
      </c>
      <c r="AB29">
        <f t="shared" si="16"/>
        <v>11.703205041702841</v>
      </c>
    </row>
    <row r="30" spans="3:28" x14ac:dyDescent="0.3">
      <c r="J30">
        <v>25</v>
      </c>
      <c r="K30">
        <f t="shared" si="0"/>
        <v>-0.39794863130761032</v>
      </c>
      <c r="L30">
        <f t="shared" si="1"/>
        <v>34.496919917864474</v>
      </c>
      <c r="M30">
        <f t="shared" si="2"/>
        <v>0.60208483436354687</v>
      </c>
      <c r="N30">
        <f t="shared" si="3"/>
        <v>0.82415663605666634</v>
      </c>
      <c r="O30">
        <f t="shared" si="4"/>
        <v>-0.32797200530183468</v>
      </c>
      <c r="P30">
        <f t="shared" si="5"/>
        <v>-0.33415603676526096</v>
      </c>
      <c r="Q30">
        <f t="shared" si="6"/>
        <v>-19.145730605467822</v>
      </c>
      <c r="R30">
        <f t="shared" si="7"/>
        <v>-0.34717515084687123</v>
      </c>
      <c r="S30">
        <f t="shared" si="8"/>
        <v>-5.7465825070868976E-2</v>
      </c>
      <c r="T30">
        <f t="shared" si="9"/>
        <v>1.6282938273935967</v>
      </c>
      <c r="U30">
        <f t="shared" si="10"/>
        <v>93.294364116856457</v>
      </c>
      <c r="V30">
        <f t="shared" si="11"/>
        <v>6.2196242744570975</v>
      </c>
      <c r="X30">
        <f t="shared" si="12"/>
        <v>-3.8338071849352728E-2</v>
      </c>
      <c r="Y30">
        <f t="shared" si="13"/>
        <v>1.609143796460627</v>
      </c>
      <c r="Z30">
        <f t="shared" si="14"/>
        <v>92.197148166852301</v>
      </c>
      <c r="AA30">
        <f t="shared" si="15"/>
        <v>6.1464765444568199</v>
      </c>
      <c r="AB30">
        <f t="shared" si="16"/>
        <v>11.70704691108636</v>
      </c>
    </row>
    <row r="31" spans="3:28" x14ac:dyDescent="0.3">
      <c r="J31">
        <v>26</v>
      </c>
      <c r="K31">
        <f t="shared" si="0"/>
        <v>-0.39794863130761032</v>
      </c>
      <c r="L31">
        <f t="shared" si="1"/>
        <v>35.482546201232033</v>
      </c>
      <c r="M31">
        <f t="shared" si="2"/>
        <v>0.61928725820250541</v>
      </c>
      <c r="N31">
        <f t="shared" si="3"/>
        <v>0.81429237794672671</v>
      </c>
      <c r="O31">
        <f t="shared" si="4"/>
        <v>-0.32404653728811922</v>
      </c>
      <c r="P31">
        <f t="shared" si="5"/>
        <v>-0.33000370902582088</v>
      </c>
      <c r="Q31">
        <f t="shared" si="6"/>
        <v>-18.907819750842808</v>
      </c>
      <c r="R31">
        <f t="shared" si="7"/>
        <v>-0.34252901171621775</v>
      </c>
      <c r="S31">
        <f t="shared" si="8"/>
        <v>-5.6696777465112147E-2</v>
      </c>
      <c r="T31">
        <f t="shared" si="9"/>
        <v>1.6275235238143142</v>
      </c>
      <c r="U31">
        <f t="shared" si="10"/>
        <v>93.250228972819727</v>
      </c>
      <c r="V31">
        <f t="shared" si="11"/>
        <v>6.2166819315213155</v>
      </c>
      <c r="X31">
        <f t="shared" si="12"/>
        <v>-3.7825005129633354E-2</v>
      </c>
      <c r="Y31">
        <f t="shared" si="13"/>
        <v>1.608630357304524</v>
      </c>
      <c r="Z31">
        <f t="shared" si="14"/>
        <v>92.16773027017085</v>
      </c>
      <c r="AA31">
        <f t="shared" si="15"/>
        <v>6.1445153513447233</v>
      </c>
      <c r="AB31">
        <f t="shared" si="16"/>
        <v>11.710969297310553</v>
      </c>
    </row>
    <row r="32" spans="3:28" x14ac:dyDescent="0.3">
      <c r="J32">
        <v>27</v>
      </c>
      <c r="K32">
        <f t="shared" si="0"/>
        <v>-0.39794863130761032</v>
      </c>
      <c r="L32">
        <f t="shared" si="1"/>
        <v>36.468172484599592</v>
      </c>
      <c r="M32">
        <f t="shared" si="2"/>
        <v>0.63648968204146394</v>
      </c>
      <c r="N32">
        <f t="shared" si="3"/>
        <v>0.80418715762144799</v>
      </c>
      <c r="O32">
        <f t="shared" si="4"/>
        <v>-0.3200251786906127</v>
      </c>
      <c r="P32">
        <f t="shared" si="5"/>
        <v>-0.32575606354268488</v>
      </c>
      <c r="Q32">
        <f t="shared" si="6"/>
        <v>-18.664447591791308</v>
      </c>
      <c r="R32">
        <f t="shared" si="7"/>
        <v>-0.33778987312187353</v>
      </c>
      <c r="S32">
        <f t="shared" si="8"/>
        <v>-5.5912336214680287E-2</v>
      </c>
      <c r="T32">
        <f t="shared" si="9"/>
        <v>1.6267378361601803</v>
      </c>
      <c r="U32">
        <f t="shared" si="10"/>
        <v>93.205212386222328</v>
      </c>
      <c r="V32">
        <f t="shared" si="11"/>
        <v>6.2136808257481553</v>
      </c>
      <c r="X32">
        <f t="shared" si="12"/>
        <v>-3.730166860773422E-2</v>
      </c>
      <c r="Y32">
        <f t="shared" si="13"/>
        <v>1.6081066511703963</v>
      </c>
      <c r="Z32">
        <f t="shared" si="14"/>
        <v>92.137724118980216</v>
      </c>
      <c r="AA32">
        <f t="shared" si="15"/>
        <v>6.1425149412653477</v>
      </c>
      <c r="AB32">
        <f t="shared" si="16"/>
        <v>11.714970117469305</v>
      </c>
    </row>
    <row r="33" spans="10:28" x14ac:dyDescent="0.3">
      <c r="J33">
        <v>28</v>
      </c>
      <c r="K33">
        <f t="shared" si="0"/>
        <v>-0.39794863130761032</v>
      </c>
      <c r="L33">
        <f t="shared" si="1"/>
        <v>37.453798767967143</v>
      </c>
      <c r="M33">
        <f t="shared" si="2"/>
        <v>0.65369210588042237</v>
      </c>
      <c r="N33">
        <f t="shared" si="3"/>
        <v>0.79384396537810187</v>
      </c>
      <c r="O33">
        <f t="shared" si="4"/>
        <v>-0.31590911949402162</v>
      </c>
      <c r="P33">
        <f t="shared" si="5"/>
        <v>-0.32141469026424929</v>
      </c>
      <c r="Q33">
        <f t="shared" si="6"/>
        <v>-18.415705225646075</v>
      </c>
      <c r="R33">
        <f t="shared" si="7"/>
        <v>-0.33296019272482613</v>
      </c>
      <c r="S33">
        <f t="shared" si="8"/>
        <v>-5.5112908121488946E-2</v>
      </c>
      <c r="T33">
        <f t="shared" si="9"/>
        <v>1.6259371734118586</v>
      </c>
      <c r="U33">
        <f t="shared" si="10"/>
        <v>93.159337789930134</v>
      </c>
      <c r="V33">
        <f t="shared" si="11"/>
        <v>6.2106225193286759</v>
      </c>
      <c r="X33">
        <f t="shared" si="12"/>
        <v>-3.6768333679759832E-2</v>
      </c>
      <c r="Y33">
        <f t="shared" si="13"/>
        <v>1.6075729501006013</v>
      </c>
      <c r="Z33">
        <f t="shared" si="14"/>
        <v>92.107145300159345</v>
      </c>
      <c r="AA33">
        <f t="shared" si="15"/>
        <v>6.1404763533439564</v>
      </c>
      <c r="AB33">
        <f t="shared" si="16"/>
        <v>11.719047293312087</v>
      </c>
    </row>
    <row r="34" spans="10:28" x14ac:dyDescent="0.3">
      <c r="J34">
        <v>29</v>
      </c>
      <c r="K34">
        <f t="shared" si="0"/>
        <v>-0.39794863130761032</v>
      </c>
      <c r="L34">
        <f t="shared" si="1"/>
        <v>38.439425051334702</v>
      </c>
      <c r="M34">
        <f t="shared" si="2"/>
        <v>0.67089452971938091</v>
      </c>
      <c r="N34">
        <f t="shared" si="3"/>
        <v>0.78326586193367909</v>
      </c>
      <c r="O34">
        <f t="shared" si="4"/>
        <v>-0.31169957770648327</v>
      </c>
      <c r="P34">
        <f t="shared" si="5"/>
        <v>-0.31698119785691736</v>
      </c>
      <c r="Q34">
        <f t="shared" si="6"/>
        <v>-18.161684822202659</v>
      </c>
      <c r="R34">
        <f t="shared" si="7"/>
        <v>-0.32804241959010305</v>
      </c>
      <c r="S34">
        <f t="shared" si="8"/>
        <v>-5.4298898564615838E-2</v>
      </c>
      <c r="T34">
        <f t="shared" si="9"/>
        <v>1.6251219430335808</v>
      </c>
      <c r="U34">
        <f t="shared" si="10"/>
        <v>93.112628529923967</v>
      </c>
      <c r="V34">
        <f t="shared" si="11"/>
        <v>6.2075085686615976</v>
      </c>
      <c r="X34">
        <f t="shared" si="12"/>
        <v>-3.6225270792574718E-2</v>
      </c>
      <c r="Y34">
        <f t="shared" si="13"/>
        <v>1.6070295251605911</v>
      </c>
      <c r="Z34">
        <f t="shared" si="14"/>
        <v>92.076009344614604</v>
      </c>
      <c r="AA34">
        <f t="shared" si="15"/>
        <v>6.1384006229743067</v>
      </c>
      <c r="AB34">
        <f t="shared" si="16"/>
        <v>11.723198754051387</v>
      </c>
    </row>
    <row r="35" spans="10:28" x14ac:dyDescent="0.3">
      <c r="J35">
        <v>30</v>
      </c>
      <c r="K35">
        <f t="shared" si="0"/>
        <v>-0.39794863130761032</v>
      </c>
      <c r="L35">
        <f t="shared" si="1"/>
        <v>39.42505133470226</v>
      </c>
      <c r="M35">
        <f t="shared" si="2"/>
        <v>0.68809695355833933</v>
      </c>
      <c r="N35">
        <f t="shared" si="3"/>
        <v>0.77245597751917416</v>
      </c>
      <c r="O35">
        <f t="shared" si="4"/>
        <v>-0.30739779899913755</v>
      </c>
      <c r="P35">
        <f t="shared" si="5"/>
        <v>-0.3124572124093572</v>
      </c>
      <c r="Q35">
        <f t="shared" si="6"/>
        <v>-17.902479549478858</v>
      </c>
      <c r="R35">
        <f t="shared" si="7"/>
        <v>-0.32303899104358358</v>
      </c>
      <c r="S35">
        <f t="shared" si="8"/>
        <v>-5.3470710980027737E-2</v>
      </c>
      <c r="T35">
        <f t="shared" si="9"/>
        <v>1.6242925504491088</v>
      </c>
      <c r="U35">
        <f t="shared" si="10"/>
        <v>93.06510783527429</v>
      </c>
      <c r="V35">
        <f t="shared" si="11"/>
        <v>6.204340522351619</v>
      </c>
      <c r="X35">
        <f t="shared" si="12"/>
        <v>-3.5672749096705494E-2</v>
      </c>
      <c r="Y35">
        <f t="shared" si="13"/>
        <v>1.6064766460906927</v>
      </c>
      <c r="Z35">
        <f t="shared" si="14"/>
        <v>92.044331707328311</v>
      </c>
      <c r="AA35">
        <f t="shared" si="15"/>
        <v>6.1362887804885542</v>
      </c>
      <c r="AB35">
        <f t="shared" si="16"/>
        <v>11.727422439022892</v>
      </c>
    </row>
    <row r="36" spans="10:28" x14ac:dyDescent="0.3">
      <c r="J36">
        <v>31</v>
      </c>
      <c r="K36">
        <f t="shared" si="0"/>
        <v>-0.39794863130761032</v>
      </c>
      <c r="L36">
        <f t="shared" si="1"/>
        <v>40.410677618069812</v>
      </c>
      <c r="M36">
        <f t="shared" si="2"/>
        <v>0.70529937739729776</v>
      </c>
      <c r="N36">
        <f t="shared" si="3"/>
        <v>0.76141751095329968</v>
      </c>
      <c r="O36">
        <f t="shared" si="4"/>
        <v>-0.30300505633751301</v>
      </c>
      <c r="P36">
        <f t="shared" si="5"/>
        <v>-0.30784437617150145</v>
      </c>
      <c r="Q36">
        <f t="shared" si="6"/>
        <v>-17.63818350146472</v>
      </c>
      <c r="R36">
        <f t="shared" si="7"/>
        <v>-0.31795232970539722</v>
      </c>
      <c r="S36">
        <f t="shared" si="8"/>
        <v>-5.2628746369536648E-2</v>
      </c>
      <c r="T36">
        <f t="shared" si="9"/>
        <v>1.623449398547439</v>
      </c>
      <c r="U36">
        <f t="shared" si="10"/>
        <v>93.016798789820172</v>
      </c>
      <c r="V36">
        <f t="shared" si="11"/>
        <v>6.2011199193213447</v>
      </c>
      <c r="X36">
        <f t="shared" si="12"/>
        <v>-3.5111036118743173E-2</v>
      </c>
      <c r="Y36">
        <f t="shared" si="13"/>
        <v>1.6059145809775432</v>
      </c>
      <c r="Z36">
        <f t="shared" si="14"/>
        <v>92.012127748533302</v>
      </c>
      <c r="AA36">
        <f t="shared" si="15"/>
        <v>6.1341418499022202</v>
      </c>
      <c r="AB36">
        <f t="shared" si="16"/>
        <v>11.73171630019556</v>
      </c>
    </row>
    <row r="37" spans="10:28" x14ac:dyDescent="0.3">
      <c r="J37">
        <v>32</v>
      </c>
      <c r="K37">
        <f t="shared" si="0"/>
        <v>-0.39794863130761032</v>
      </c>
      <c r="L37">
        <f t="shared" si="1"/>
        <v>41.396303901437371</v>
      </c>
      <c r="M37">
        <f t="shared" si="2"/>
        <v>0.7225018012362564</v>
      </c>
      <c r="N37">
        <f t="shared" si="3"/>
        <v>0.75015372869590424</v>
      </c>
      <c r="O37">
        <f t="shared" si="4"/>
        <v>-0.29852264960483554</v>
      </c>
      <c r="P37">
        <f t="shared" si="5"/>
        <v>-0.30314434633010651</v>
      </c>
      <c r="Q37">
        <f t="shared" si="6"/>
        <v>-17.368891627967248</v>
      </c>
      <c r="R37">
        <f t="shared" si="7"/>
        <v>-0.31278484070242235</v>
      </c>
      <c r="S37">
        <f t="shared" si="8"/>
        <v>-5.1773402839401426E-2</v>
      </c>
      <c r="T37">
        <f t="shared" si="9"/>
        <v>1.6225928872186599</v>
      </c>
      <c r="U37">
        <f t="shared" si="10"/>
        <v>92.967724305575985</v>
      </c>
      <c r="V37">
        <f t="shared" si="11"/>
        <v>6.1978482870383989</v>
      </c>
      <c r="X37">
        <f t="shared" si="12"/>
        <v>-3.4540397453523233E-2</v>
      </c>
      <c r="Y37">
        <f t="shared" si="13"/>
        <v>1.6053435959454474</v>
      </c>
      <c r="Z37">
        <f t="shared" si="14"/>
        <v>91.979412716029074</v>
      </c>
      <c r="AA37">
        <f t="shared" si="15"/>
        <v>6.1319608477352716</v>
      </c>
      <c r="AB37">
        <f t="shared" si="16"/>
        <v>11.736078304529457</v>
      </c>
    </row>
    <row r="38" spans="10:28" x14ac:dyDescent="0.3">
      <c r="J38">
        <v>33</v>
      </c>
      <c r="K38">
        <f t="shared" si="0"/>
        <v>-0.39794863130761032</v>
      </c>
      <c r="L38">
        <f t="shared" si="1"/>
        <v>42.381930184804929</v>
      </c>
      <c r="M38">
        <f t="shared" si="2"/>
        <v>0.73970422507521494</v>
      </c>
      <c r="N38">
        <f t="shared" si="3"/>
        <v>0.73866796388137468</v>
      </c>
      <c r="O38">
        <f t="shared" si="4"/>
        <v>-0.29395190521737241</v>
      </c>
      <c r="P38">
        <f t="shared" si="5"/>
        <v>-0.29835879382248004</v>
      </c>
      <c r="Q38">
        <f t="shared" si="6"/>
        <v>-17.094699666642004</v>
      </c>
      <c r="R38">
        <f t="shared" si="7"/>
        <v>-0.30753890906146075</v>
      </c>
      <c r="S38">
        <f t="shared" si="8"/>
        <v>-5.0905075168835502E-2</v>
      </c>
      <c r="T38">
        <f t="shared" si="9"/>
        <v>1.6217234129202027</v>
      </c>
      <c r="U38">
        <f t="shared" si="10"/>
        <v>92.917907097879294</v>
      </c>
      <c r="V38">
        <f t="shared" si="11"/>
        <v>6.1945271398586197</v>
      </c>
      <c r="X38">
        <f t="shared" si="12"/>
        <v>-3.3961096476257474E-2</v>
      </c>
      <c r="Y38">
        <f t="shared" si="13"/>
        <v>1.6047639548678372</v>
      </c>
      <c r="Z38">
        <f t="shared" si="14"/>
        <v>91.946201728649598</v>
      </c>
      <c r="AA38">
        <f t="shared" si="15"/>
        <v>6.1297467819099731</v>
      </c>
      <c r="AB38">
        <f t="shared" si="16"/>
        <v>11.740506436180054</v>
      </c>
    </row>
    <row r="39" spans="10:28" x14ac:dyDescent="0.3">
      <c r="J39">
        <v>34</v>
      </c>
      <c r="K39">
        <f t="shared" si="0"/>
        <v>-0.39794863130761032</v>
      </c>
      <c r="L39">
        <f t="shared" si="1"/>
        <v>43.367556468172488</v>
      </c>
      <c r="M39">
        <f t="shared" si="2"/>
        <v>0.75690664891417325</v>
      </c>
      <c r="N39">
        <f t="shared" si="3"/>
        <v>0.72696361533230802</v>
      </c>
      <c r="O39">
        <f t="shared" si="4"/>
        <v>-0.28929417573192412</v>
      </c>
      <c r="P39">
        <f t="shared" si="5"/>
        <v>-0.29348940218977981</v>
      </c>
      <c r="Q39">
        <f t="shared" si="6"/>
        <v>-16.815704077291965</v>
      </c>
      <c r="R39">
        <f t="shared" si="7"/>
        <v>-0.30221689728377304</v>
      </c>
      <c r="S39">
        <f t="shared" si="8"/>
        <v>-5.0024154408534312E-2</v>
      </c>
      <c r="T39">
        <f t="shared" si="9"/>
        <v>1.6208413682735847</v>
      </c>
      <c r="U39">
        <f t="shared" si="10"/>
        <v>92.867369662285967</v>
      </c>
      <c r="V39">
        <f t="shared" si="11"/>
        <v>6.191157977485731</v>
      </c>
      <c r="X39">
        <f t="shared" si="12"/>
        <v>-3.3373394074693356E-2</v>
      </c>
      <c r="Y39">
        <f t="shared" si="13"/>
        <v>1.6041759190988931</v>
      </c>
      <c r="Z39">
        <f t="shared" si="14"/>
        <v>91.912509760886365</v>
      </c>
      <c r="AA39">
        <f t="shared" si="15"/>
        <v>6.1275006507257581</v>
      </c>
      <c r="AB39">
        <f t="shared" si="16"/>
        <v>11.744998698548484</v>
      </c>
    </row>
    <row r="40" spans="10:28" x14ac:dyDescent="0.3">
      <c r="J40">
        <v>35</v>
      </c>
      <c r="K40">
        <f t="shared" si="0"/>
        <v>-0.39794863130761032</v>
      </c>
      <c r="L40">
        <f t="shared" si="1"/>
        <v>44.353182751540039</v>
      </c>
      <c r="M40">
        <f t="shared" si="2"/>
        <v>0.77410907275313179</v>
      </c>
      <c r="N40">
        <f t="shared" si="3"/>
        <v>0.71504414655374438</v>
      </c>
      <c r="O40">
        <f t="shared" si="4"/>
        <v>-0.28455083944558091</v>
      </c>
      <c r="P40">
        <f t="shared" si="5"/>
        <v>-0.28853786647108748</v>
      </c>
      <c r="Q40">
        <f t="shared" si="6"/>
        <v>-16.532001978502617</v>
      </c>
      <c r="R40">
        <f t="shared" si="7"/>
        <v>-0.29682114310083219</v>
      </c>
      <c r="S40">
        <f t="shared" si="8"/>
        <v>-4.9131027509198559E-2</v>
      </c>
      <c r="T40">
        <f t="shared" si="9"/>
        <v>1.6199471416916005</v>
      </c>
      <c r="U40">
        <f t="shared" si="10"/>
        <v>92.816134253209867</v>
      </c>
      <c r="V40">
        <f t="shared" si="11"/>
        <v>6.1877422835473244</v>
      </c>
      <c r="X40">
        <f t="shared" si="12"/>
        <v>-3.2777548401284912E-2</v>
      </c>
      <c r="Y40">
        <f t="shared" si="13"/>
        <v>1.6035797472253155</v>
      </c>
      <c r="Z40">
        <f t="shared" si="14"/>
        <v>91.878351628665968</v>
      </c>
      <c r="AA40">
        <f t="shared" si="15"/>
        <v>6.1252234419110643</v>
      </c>
      <c r="AB40">
        <f t="shared" si="16"/>
        <v>11.749553116177871</v>
      </c>
    </row>
    <row r="41" spans="10:28" x14ac:dyDescent="0.3">
      <c r="J41">
        <v>36</v>
      </c>
      <c r="K41">
        <f t="shared" si="0"/>
        <v>-0.39794863130761032</v>
      </c>
      <c r="L41">
        <f t="shared" si="1"/>
        <v>45.338809034907598</v>
      </c>
      <c r="M41">
        <f t="shared" si="2"/>
        <v>0.79131149659209021</v>
      </c>
      <c r="N41">
        <f t="shared" si="3"/>
        <v>0.70291308470826153</v>
      </c>
      <c r="O41">
        <f t="shared" si="4"/>
        <v>-0.27972329998786305</v>
      </c>
      <c r="P41">
        <f t="shared" si="5"/>
        <v>-0.2835058921392688</v>
      </c>
      <c r="Q41">
        <f t="shared" si="6"/>
        <v>-16.243691086671245</v>
      </c>
      <c r="R41">
        <f t="shared" si="7"/>
        <v>-0.29135395741038028</v>
      </c>
      <c r="S41">
        <f t="shared" si="8"/>
        <v>-4.8226076979902062E-2</v>
      </c>
      <c r="T41">
        <f t="shared" si="9"/>
        <v>1.6190411170357908</v>
      </c>
      <c r="U41">
        <f t="shared" si="10"/>
        <v>92.764222864297167</v>
      </c>
      <c r="V41">
        <f t="shared" si="11"/>
        <v>6.1842815242864777</v>
      </c>
      <c r="X41">
        <f t="shared" si="12"/>
        <v>-3.2173814645274398E-2</v>
      </c>
      <c r="Y41">
        <f t="shared" si="13"/>
        <v>1.6029756948381324</v>
      </c>
      <c r="Z41">
        <f t="shared" si="14"/>
        <v>91.843741976275567</v>
      </c>
      <c r="AA41">
        <f t="shared" si="15"/>
        <v>6.1229161317517047</v>
      </c>
      <c r="AB41">
        <f t="shared" si="16"/>
        <v>11.754167736496591</v>
      </c>
    </row>
    <row r="42" spans="10:28" x14ac:dyDescent="0.3">
      <c r="J42">
        <v>37</v>
      </c>
      <c r="K42">
        <f t="shared" si="0"/>
        <v>-0.39794863130761032</v>
      </c>
      <c r="L42">
        <f t="shared" si="1"/>
        <v>46.324435318275157</v>
      </c>
      <c r="M42">
        <f t="shared" si="2"/>
        <v>0.80851392043104875</v>
      </c>
      <c r="N42">
        <f t="shared" si="3"/>
        <v>0.69057401957222941</v>
      </c>
      <c r="O42">
        <f t="shared" si="4"/>
        <v>-0.27481298590536357</v>
      </c>
      <c r="P42">
        <f t="shared" si="5"/>
        <v>-0.27839519407944174</v>
      </c>
      <c r="Q42">
        <f t="shared" si="6"/>
        <v>-15.950869657477456</v>
      </c>
      <c r="R42">
        <f t="shared" si="7"/>
        <v>-0.2858176223911591</v>
      </c>
      <c r="S42">
        <f t="shared" si="8"/>
        <v>-4.7309680576034387E-2</v>
      </c>
      <c r="T42">
        <f t="shared" si="9"/>
        <v>1.6181236733038968</v>
      </c>
      <c r="U42">
        <f t="shared" si="10"/>
        <v>92.711657210518922</v>
      </c>
      <c r="V42">
        <f t="shared" si="11"/>
        <v>6.1807771473679285</v>
      </c>
      <c r="X42">
        <f t="shared" si="12"/>
        <v>-3.1562444824504571E-2</v>
      </c>
      <c r="Y42">
        <f t="shared" si="13"/>
        <v>1.6023640143243592</v>
      </c>
      <c r="Z42">
        <f t="shared" si="14"/>
        <v>91.808695264425964</v>
      </c>
      <c r="AA42">
        <f t="shared" si="15"/>
        <v>6.1205796842950644</v>
      </c>
      <c r="AB42">
        <f t="shared" si="16"/>
        <v>11.758840631409871</v>
      </c>
    </row>
    <row r="43" spans="10:28" x14ac:dyDescent="0.3">
      <c r="J43">
        <v>38</v>
      </c>
      <c r="K43">
        <f t="shared" si="0"/>
        <v>-0.39794863130761032</v>
      </c>
      <c r="L43">
        <f t="shared" si="1"/>
        <v>47.310061601642708</v>
      </c>
      <c r="M43">
        <f t="shared" si="2"/>
        <v>0.82571634427000717</v>
      </c>
      <c r="N43">
        <f t="shared" si="3"/>
        <v>0.67803060247353819</v>
      </c>
      <c r="O43">
        <f t="shared" si="4"/>
        <v>-0.26982135023901893</v>
      </c>
      <c r="P43">
        <f t="shared" si="5"/>
        <v>-0.27320749561069962</v>
      </c>
      <c r="Q43">
        <f t="shared" si="6"/>
        <v>-15.653636429832053</v>
      </c>
      <c r="R43">
        <f t="shared" si="7"/>
        <v>-0.28021438979403862</v>
      </c>
      <c r="S43">
        <f t="shared" si="8"/>
        <v>-4.6382211016441577E-2</v>
      </c>
      <c r="T43">
        <f t="shared" si="9"/>
        <v>1.6171951843469003</v>
      </c>
      <c r="U43">
        <f t="shared" si="10"/>
        <v>92.658458711958517</v>
      </c>
      <c r="V43">
        <f t="shared" si="11"/>
        <v>6.1772305807972341</v>
      </c>
      <c r="X43">
        <f t="shared" si="12"/>
        <v>-3.094368759671038E-2</v>
      </c>
      <c r="Y43">
        <f t="shared" si="13"/>
        <v>1.6017449546782543</v>
      </c>
      <c r="Z43">
        <f t="shared" si="14"/>
        <v>91.773225759437295</v>
      </c>
      <c r="AA43">
        <f t="shared" si="15"/>
        <v>6.1182150506291526</v>
      </c>
      <c r="AB43">
        <f t="shared" si="16"/>
        <v>11.763569898741695</v>
      </c>
    </row>
    <row r="44" spans="10:28" x14ac:dyDescent="0.3">
      <c r="J44">
        <v>39</v>
      </c>
      <c r="K44">
        <f t="shared" si="0"/>
        <v>-0.39794863130761032</v>
      </c>
      <c r="L44">
        <f t="shared" si="1"/>
        <v>48.295687885010267</v>
      </c>
      <c r="M44">
        <f t="shared" si="2"/>
        <v>0.84291876810896571</v>
      </c>
      <c r="N44">
        <f t="shared" si="3"/>
        <v>0.66528654521111152</v>
      </c>
      <c r="O44">
        <f t="shared" si="4"/>
        <v>-0.26474987009413042</v>
      </c>
      <c r="P44">
        <f t="shared" si="5"/>
        <v>-0.26794452755156029</v>
      </c>
      <c r="Q44">
        <f t="shared" si="6"/>
        <v>-15.35209057233121</v>
      </c>
      <c r="R44">
        <f t="shared" si="7"/>
        <v>-0.27454647940667315</v>
      </c>
      <c r="S44">
        <f t="shared" si="8"/>
        <v>-4.5444035729289851E-2</v>
      </c>
      <c r="T44">
        <f t="shared" si="9"/>
        <v>1.6162560186151487</v>
      </c>
      <c r="U44">
        <f t="shared" si="10"/>
        <v>92.604648479265833</v>
      </c>
      <c r="V44">
        <f t="shared" si="11"/>
        <v>6.1736432319510559</v>
      </c>
      <c r="X44">
        <f t="shared" si="12"/>
        <v>-3.0317788089973062E-2</v>
      </c>
      <c r="Y44">
        <f t="shared" si="13"/>
        <v>1.6011187613318447</v>
      </c>
      <c r="Z44">
        <f t="shared" si="14"/>
        <v>91.737347523528854</v>
      </c>
      <c r="AA44">
        <f t="shared" si="15"/>
        <v>6.1158231682352566</v>
      </c>
      <c r="AB44">
        <f t="shared" si="16"/>
        <v>11.768353663529487</v>
      </c>
    </row>
    <row r="45" spans="10:28" x14ac:dyDescent="0.3">
      <c r="J45">
        <v>40</v>
      </c>
      <c r="K45">
        <f t="shared" si="0"/>
        <v>-0.39794863130761032</v>
      </c>
      <c r="L45">
        <f t="shared" si="1"/>
        <v>49.281314168377826</v>
      </c>
      <c r="M45">
        <f t="shared" si="2"/>
        <v>0.86012119194792425</v>
      </c>
      <c r="N45">
        <f t="shared" si="3"/>
        <v>0.65234561895652565</v>
      </c>
      <c r="O45">
        <f t="shared" si="4"/>
        <v>-0.25960004620326527</v>
      </c>
      <c r="P45">
        <f t="shared" si="5"/>
        <v>-0.26260802732945326</v>
      </c>
      <c r="Q45">
        <f t="shared" si="6"/>
        <v>-15.04633163223385</v>
      </c>
      <c r="R45">
        <f t="shared" si="7"/>
        <v>-0.26881607768828952</v>
      </c>
      <c r="S45">
        <f t="shared" si="8"/>
        <v>-4.449551662609031E-2</v>
      </c>
      <c r="T45">
        <f t="shared" si="9"/>
        <v>1.6153065389329846</v>
      </c>
      <c r="U45">
        <f t="shared" si="10"/>
        <v>92.550247300744417</v>
      </c>
      <c r="V45">
        <f t="shared" si="11"/>
        <v>6.1700164867162943</v>
      </c>
      <c r="X45">
        <f t="shared" si="12"/>
        <v>-2.9684987751961701E-2</v>
      </c>
      <c r="Y45">
        <f t="shared" si="13"/>
        <v>1.6004856760043382</v>
      </c>
      <c r="Z45">
        <f t="shared" si="14"/>
        <v>91.701074406191083</v>
      </c>
      <c r="AA45">
        <f t="shared" si="15"/>
        <v>6.1134049604127387</v>
      </c>
      <c r="AB45">
        <f t="shared" si="16"/>
        <v>11.773190079174523</v>
      </c>
    </row>
    <row r="46" spans="10:28" x14ac:dyDescent="0.3">
      <c r="J46">
        <v>41</v>
      </c>
      <c r="K46">
        <f t="shared" si="0"/>
        <v>-0.39794863130761032</v>
      </c>
      <c r="L46">
        <f t="shared" si="1"/>
        <v>50.266940451745377</v>
      </c>
      <c r="M46">
        <f t="shared" si="2"/>
        <v>0.87732361578688256</v>
      </c>
      <c r="N46">
        <f t="shared" si="3"/>
        <v>0.63921165313805894</v>
      </c>
      <c r="O46">
        <f t="shared" si="4"/>
        <v>-0.2543734024821655</v>
      </c>
      <c r="P46">
        <f t="shared" si="5"/>
        <v>-0.25719973813440011</v>
      </c>
      <c r="Q46">
        <f t="shared" si="6"/>
        <v>-14.7364594869711</v>
      </c>
      <c r="R46">
        <f t="shared" si="7"/>
        <v>-0.2630253365707384</v>
      </c>
      <c r="S46">
        <f t="shared" si="8"/>
        <v>-4.3537009903244078E-2</v>
      </c>
      <c r="T46">
        <f t="shared" si="9"/>
        <v>1.6143471023012079</v>
      </c>
      <c r="U46">
        <f t="shared" si="10"/>
        <v>92.495275631033351</v>
      </c>
      <c r="V46">
        <f t="shared" si="11"/>
        <v>6.166351708735557</v>
      </c>
      <c r="X46">
        <f t="shared" si="12"/>
        <v>-2.9045524217534962E-2</v>
      </c>
      <c r="Y46">
        <f t="shared" si="13"/>
        <v>1.5998459365699922</v>
      </c>
      <c r="Z46">
        <f t="shared" si="14"/>
        <v>91.664420036614956</v>
      </c>
      <c r="AA46">
        <f t="shared" si="15"/>
        <v>6.1109613357743306</v>
      </c>
      <c r="AB46">
        <f t="shared" si="16"/>
        <v>11.778077328451339</v>
      </c>
    </row>
    <row r="47" spans="10:28" x14ac:dyDescent="0.3">
      <c r="J47">
        <v>42</v>
      </c>
      <c r="K47">
        <f t="shared" si="0"/>
        <v>-0.39794863130761032</v>
      </c>
      <c r="L47">
        <f t="shared" si="1"/>
        <v>51.252566735112936</v>
      </c>
      <c r="M47">
        <f t="shared" si="2"/>
        <v>0.8945260396258411</v>
      </c>
      <c r="N47">
        <f t="shared" si="3"/>
        <v>0.6258885343075018</v>
      </c>
      <c r="O47">
        <f t="shared" si="4"/>
        <v>-0.24907148557879666</v>
      </c>
      <c r="P47">
        <f t="shared" si="5"/>
        <v>-0.25172140811689958</v>
      </c>
      <c r="Q47">
        <f t="shared" si="6"/>
        <v>-14.42257429818849</v>
      </c>
      <c r="R47">
        <f t="shared" si="7"/>
        <v>-0.25717637242153141</v>
      </c>
      <c r="S47">
        <f t="shared" si="8"/>
        <v>-4.2568865870400076E-2</v>
      </c>
      <c r="T47">
        <f t="shared" si="9"/>
        <v>1.6133780597266449</v>
      </c>
      <c r="U47">
        <f t="shared" si="10"/>
        <v>92.439753581342401</v>
      </c>
      <c r="V47">
        <f t="shared" si="11"/>
        <v>6.1626502387561599</v>
      </c>
      <c r="X47">
        <f t="shared" si="12"/>
        <v>-2.8399631194230737E-2</v>
      </c>
      <c r="Y47">
        <f t="shared" si="13"/>
        <v>1.5991997769439543</v>
      </c>
      <c r="Z47">
        <f t="shared" si="14"/>
        <v>91.627397817151234</v>
      </c>
      <c r="AA47">
        <f t="shared" si="15"/>
        <v>6.1084931878100823</v>
      </c>
      <c r="AB47">
        <f t="shared" si="16"/>
        <v>11.783013624379835</v>
      </c>
    </row>
    <row r="48" spans="10:28" x14ac:dyDescent="0.3">
      <c r="J48">
        <v>43</v>
      </c>
      <c r="K48">
        <f t="shared" si="0"/>
        <v>-0.39794863130761032</v>
      </c>
      <c r="L48">
        <f t="shared" si="1"/>
        <v>52.238193018480494</v>
      </c>
      <c r="M48">
        <f t="shared" si="2"/>
        <v>0.91172846346479963</v>
      </c>
      <c r="N48">
        <f t="shared" si="3"/>
        <v>0.61238020499006496</v>
      </c>
      <c r="O48">
        <f t="shared" si="4"/>
        <v>-0.2436958644156702</v>
      </c>
      <c r="P48">
        <f t="shared" si="5"/>
        <v>-0.24617478962989142</v>
      </c>
      <c r="Q48">
        <f t="shared" si="6"/>
        <v>-14.104776468313684</v>
      </c>
      <c r="R48">
        <f t="shared" si="7"/>
        <v>-0.2512712651642296</v>
      </c>
      <c r="S48">
        <f t="shared" si="8"/>
        <v>-4.1591428804858201E-2</v>
      </c>
      <c r="T48">
        <f t="shared" si="9"/>
        <v>1.6123997560780272</v>
      </c>
      <c r="U48">
        <f t="shared" si="10"/>
        <v>92.383700911194367</v>
      </c>
      <c r="V48">
        <f t="shared" si="11"/>
        <v>6.1589133940796241</v>
      </c>
      <c r="X48">
        <f t="shared" si="12"/>
        <v>-2.7747538365131844E-2</v>
      </c>
      <c r="Y48">
        <f t="shared" si="13"/>
        <v>1.5985474269855604</v>
      </c>
      <c r="Z48">
        <f t="shared" si="14"/>
        <v>91.590020917769721</v>
      </c>
      <c r="AA48">
        <f t="shared" si="15"/>
        <v>6.106001394517981</v>
      </c>
      <c r="AB48">
        <f t="shared" si="16"/>
        <v>11.787997210964038</v>
      </c>
    </row>
    <row r="49" spans="10:28" x14ac:dyDescent="0.3">
      <c r="J49">
        <v>44</v>
      </c>
      <c r="K49">
        <f t="shared" si="0"/>
        <v>-0.39794863130761032</v>
      </c>
      <c r="L49">
        <f t="shared" si="1"/>
        <v>53.223819301848046</v>
      </c>
      <c r="M49">
        <f t="shared" si="2"/>
        <v>0.92893088730375806</v>
      </c>
      <c r="N49">
        <f t="shared" si="3"/>
        <v>0.59869066251772141</v>
      </c>
      <c r="O49">
        <f t="shared" si="4"/>
        <v>-0.23824812972557369</v>
      </c>
      <c r="P49">
        <f t="shared" si="5"/>
        <v>-0.24056163851454607</v>
      </c>
      <c r="Q49">
        <f t="shared" si="6"/>
        <v>-13.783166599635244</v>
      </c>
      <c r="R49">
        <f t="shared" si="7"/>
        <v>-0.24531205755124799</v>
      </c>
      <c r="S49">
        <f t="shared" si="8"/>
        <v>-4.0605036831200973E-2</v>
      </c>
      <c r="T49">
        <f t="shared" si="9"/>
        <v>1.6114125299673432</v>
      </c>
      <c r="U49">
        <f t="shared" si="10"/>
        <v>92.327137021627053</v>
      </c>
      <c r="V49">
        <f t="shared" si="11"/>
        <v>6.1551424681084699</v>
      </c>
      <c r="X49">
        <f t="shared" si="12"/>
        <v>-2.7089471308562846E-2</v>
      </c>
      <c r="Y49">
        <f t="shared" si="13"/>
        <v>1.5978891124185353</v>
      </c>
      <c r="Z49">
        <f t="shared" si="14"/>
        <v>91.552302271487207</v>
      </c>
      <c r="AA49">
        <f t="shared" si="15"/>
        <v>6.1034868180991468</v>
      </c>
      <c r="AB49">
        <f t="shared" si="16"/>
        <v>11.793026363801706</v>
      </c>
    </row>
    <row r="50" spans="10:28" x14ac:dyDescent="0.3">
      <c r="J50">
        <v>45</v>
      </c>
      <c r="K50">
        <f t="shared" si="0"/>
        <v>-0.39794863130761032</v>
      </c>
      <c r="L50">
        <f t="shared" si="1"/>
        <v>54.209445585215605</v>
      </c>
      <c r="M50">
        <f t="shared" si="2"/>
        <v>0.94613331114271659</v>
      </c>
      <c r="N50">
        <f t="shared" si="3"/>
        <v>0.58482395784633234</v>
      </c>
      <c r="O50">
        <f t="shared" si="4"/>
        <v>-0.23272989358084756</v>
      </c>
      <c r="P50">
        <f t="shared" si="5"/>
        <v>-0.23488371342950917</v>
      </c>
      <c r="Q50">
        <f t="shared" si="6"/>
        <v>-13.457845455871171</v>
      </c>
      <c r="R50">
        <f t="shared" si="7"/>
        <v>-0.23930075458389247</v>
      </c>
      <c r="S50">
        <f t="shared" si="8"/>
        <v>-3.9610021825295744E-2</v>
      </c>
      <c r="T50">
        <f t="shared" si="9"/>
        <v>1.6104167136557808</v>
      </c>
      <c r="U50">
        <f t="shared" si="10"/>
        <v>92.270080949804253</v>
      </c>
      <c r="V50">
        <f t="shared" si="11"/>
        <v>6.15133872998695</v>
      </c>
      <c r="X50">
        <f t="shared" si="12"/>
        <v>-2.6425651434045523E-2</v>
      </c>
      <c r="Y50">
        <f t="shared" si="13"/>
        <v>1.5972250547675173</v>
      </c>
      <c r="Z50">
        <f t="shared" si="14"/>
        <v>91.514254570730515</v>
      </c>
      <c r="AA50">
        <f t="shared" si="15"/>
        <v>6.1009503047153677</v>
      </c>
      <c r="AB50">
        <f t="shared" si="16"/>
        <v>11.798099390569265</v>
      </c>
    </row>
    <row r="51" spans="10:28" x14ac:dyDescent="0.3">
      <c r="J51">
        <v>46</v>
      </c>
      <c r="K51">
        <f t="shared" si="0"/>
        <v>-0.39794863130761032</v>
      </c>
      <c r="L51">
        <f t="shared" si="1"/>
        <v>55.195071868583163</v>
      </c>
      <c r="M51">
        <f t="shared" si="2"/>
        <v>0.96333573498167513</v>
      </c>
      <c r="N51">
        <f t="shared" si="3"/>
        <v>0.57078419435690364</v>
      </c>
      <c r="O51">
        <f t="shared" si="4"/>
        <v>-0.22714278891634684</v>
      </c>
      <c r="P51">
        <f t="shared" si="5"/>
        <v>-0.22914277522311968</v>
      </c>
      <c r="Q51">
        <f t="shared" si="6"/>
        <v>-13.128913926199649</v>
      </c>
      <c r="R51">
        <f t="shared" si="7"/>
        <v>-0.2332393230742443</v>
      </c>
      <c r="S51">
        <f t="shared" si="8"/>
        <v>-3.8606709341776062E-2</v>
      </c>
      <c r="T51">
        <f t="shared" si="9"/>
        <v>1.6094126329833447</v>
      </c>
      <c r="U51">
        <f t="shared" si="10"/>
        <v>92.212551364983</v>
      </c>
      <c r="V51">
        <f t="shared" si="11"/>
        <v>6.1475034243322</v>
      </c>
      <c r="X51">
        <f t="shared" si="12"/>
        <v>-2.5756295933918386E-2</v>
      </c>
      <c r="Y51">
        <f t="shared" si="13"/>
        <v>1.5965554713103054</v>
      </c>
      <c r="Z51">
        <f t="shared" si="14"/>
        <v>91.475890264600494</v>
      </c>
      <c r="AA51">
        <f t="shared" si="15"/>
        <v>6.0983926843066998</v>
      </c>
      <c r="AB51">
        <f t="shared" si="16"/>
        <v>11.8032146313866</v>
      </c>
    </row>
    <row r="52" spans="10:28" x14ac:dyDescent="0.3">
      <c r="J52">
        <v>47</v>
      </c>
      <c r="K52">
        <f t="shared" si="0"/>
        <v>-0.39794863130761032</v>
      </c>
      <c r="L52">
        <f t="shared" si="1"/>
        <v>56.180698151950722</v>
      </c>
      <c r="M52">
        <f t="shared" si="2"/>
        <v>0.98053815882063367</v>
      </c>
      <c r="N52">
        <f t="shared" si="3"/>
        <v>0.55657552664133025</v>
      </c>
      <c r="O52">
        <f t="shared" si="4"/>
        <v>-0.22148846904622979</v>
      </c>
      <c r="P52">
        <f t="shared" si="5"/>
        <v>-0.2233405863480212</v>
      </c>
      <c r="Q52">
        <f t="shared" si="6"/>
        <v>-12.796472991718746</v>
      </c>
      <c r="R52">
        <f t="shared" si="7"/>
        <v>-0.2271296913433552</v>
      </c>
      <c r="S52">
        <f t="shared" si="8"/>
        <v>-3.7595418564085693E-2</v>
      </c>
      <c r="T52">
        <f t="shared" si="9"/>
        <v>1.6084006073212116</v>
      </c>
      <c r="U52">
        <f t="shared" si="10"/>
        <v>92.154566565783853</v>
      </c>
      <c r="V52">
        <f t="shared" si="11"/>
        <v>6.1436377710522567</v>
      </c>
      <c r="X52">
        <f t="shared" si="12"/>
        <v>-2.5081617750008774E-2</v>
      </c>
      <c r="Y52">
        <f t="shared" si="13"/>
        <v>1.5958805750452125</v>
      </c>
      <c r="Z52">
        <f t="shared" si="14"/>
        <v>91.437221557001521</v>
      </c>
      <c r="AA52">
        <f t="shared" si="15"/>
        <v>6.0958147704667685</v>
      </c>
      <c r="AB52">
        <f t="shared" si="16"/>
        <v>11.808370459066463</v>
      </c>
    </row>
    <row r="53" spans="10:28" x14ac:dyDescent="0.3">
      <c r="J53">
        <v>48</v>
      </c>
      <c r="K53">
        <f t="shared" si="0"/>
        <v>-0.39794863130761032</v>
      </c>
      <c r="L53">
        <f t="shared" si="1"/>
        <v>57.166324435318273</v>
      </c>
      <c r="M53">
        <f t="shared" si="2"/>
        <v>0.99774058265959209</v>
      </c>
      <c r="N53">
        <f t="shared" si="3"/>
        <v>0.54220215927298443</v>
      </c>
      <c r="O53">
        <f t="shared" si="4"/>
        <v>-0.21576860717471508</v>
      </c>
      <c r="P53">
        <f t="shared" si="5"/>
        <v>-0.21747891031749131</v>
      </c>
      <c r="Q53">
        <f t="shared" si="6"/>
        <v>-12.460623694296386</v>
      </c>
      <c r="R53">
        <f t="shared" si="7"/>
        <v>-0.22097374905010161</v>
      </c>
      <c r="S53">
        <f t="shared" si="8"/>
        <v>-3.6576462276149906E-2</v>
      </c>
      <c r="T53">
        <f t="shared" si="9"/>
        <v>1.6073809495458671</v>
      </c>
      <c r="U53">
        <f t="shared" si="10"/>
        <v>92.096144478708894</v>
      </c>
      <c r="V53">
        <f t="shared" si="11"/>
        <v>6.1397429652472599</v>
      </c>
      <c r="X53">
        <f t="shared" si="12"/>
        <v>-2.4401825554733483E-2</v>
      </c>
      <c r="Y53">
        <f t="shared" si="13"/>
        <v>1.5952005746728912</v>
      </c>
      <c r="Z53">
        <f t="shared" si="14"/>
        <v>91.398260405600197</v>
      </c>
      <c r="AA53">
        <f t="shared" si="15"/>
        <v>6.0932173603733464</v>
      </c>
      <c r="AB53">
        <f t="shared" si="16"/>
        <v>11.813565279253307</v>
      </c>
    </row>
    <row r="54" spans="10:28" x14ac:dyDescent="0.3">
      <c r="J54">
        <v>49</v>
      </c>
      <c r="K54">
        <f t="shared" si="0"/>
        <v>-0.39794863130761032</v>
      </c>
      <c r="L54">
        <f t="shared" si="1"/>
        <v>58.151950718685832</v>
      </c>
      <c r="M54">
        <f t="shared" si="2"/>
        <v>1.0149430064985505</v>
      </c>
      <c r="N54">
        <f t="shared" si="3"/>
        <v>0.52766834556251596</v>
      </c>
      <c r="O54">
        <f t="shared" si="4"/>
        <v>-0.20998489590095437</v>
      </c>
      <c r="P54">
        <f t="shared" si="5"/>
        <v>-0.21155951120273411</v>
      </c>
      <c r="Q54">
        <f t="shared" si="6"/>
        <v>-12.121467107767325</v>
      </c>
      <c r="R54">
        <f t="shared" si="7"/>
        <v>-0.21477334714498211</v>
      </c>
      <c r="S54">
        <f t="shared" si="8"/>
        <v>-3.5550146854727828E-2</v>
      </c>
      <c r="T54">
        <f t="shared" si="9"/>
        <v>1.6063539660340551</v>
      </c>
      <c r="U54">
        <f t="shared" si="10"/>
        <v>92.037302657852564</v>
      </c>
      <c r="V54">
        <f t="shared" si="11"/>
        <v>6.1358201771901708</v>
      </c>
      <c r="X54">
        <f t="shared" si="12"/>
        <v>-2.3717123745996653E-2</v>
      </c>
      <c r="Y54">
        <f t="shared" si="13"/>
        <v>1.5945156745919982</v>
      </c>
      <c r="Z54">
        <f t="shared" si="14"/>
        <v>91.359018521576857</v>
      </c>
      <c r="AA54">
        <f t="shared" si="15"/>
        <v>6.0906012347717908</v>
      </c>
      <c r="AB54">
        <f t="shared" si="16"/>
        <v>11.818797530456418</v>
      </c>
    </row>
    <row r="55" spans="10:28" x14ac:dyDescent="0.3">
      <c r="J55">
        <v>50</v>
      </c>
      <c r="K55">
        <f t="shared" si="0"/>
        <v>-0.39794863130761032</v>
      </c>
      <c r="L55">
        <f t="shared" si="1"/>
        <v>59.137577002053391</v>
      </c>
      <c r="M55">
        <f t="shared" si="2"/>
        <v>1.0321454303375091</v>
      </c>
      <c r="N55">
        <f t="shared" si="3"/>
        <v>0.51297838629922798</v>
      </c>
      <c r="O55">
        <f t="shared" si="4"/>
        <v>-0.20413904671816438</v>
      </c>
      <c r="P55">
        <f t="shared" si="5"/>
        <v>-0.20558415317030035</v>
      </c>
      <c r="Q55">
        <f t="shared" si="6"/>
        <v>-11.779104311429272</v>
      </c>
      <c r="R55">
        <f t="shared" si="7"/>
        <v>-0.20853029794310182</v>
      </c>
      <c r="S55">
        <f t="shared" si="8"/>
        <v>-3.4516772281493122E-2</v>
      </c>
      <c r="T55">
        <f t="shared" si="9"/>
        <v>1.6053199566775727</v>
      </c>
      <c r="U55">
        <f t="shared" si="10"/>
        <v>91.978058285749057</v>
      </c>
      <c r="V55">
        <f t="shared" si="11"/>
        <v>6.1318705523832708</v>
      </c>
      <c r="X55">
        <f t="shared" si="12"/>
        <v>-2.3027712455249351E-2</v>
      </c>
      <c r="Y55">
        <f t="shared" si="13"/>
        <v>1.5938260749080533</v>
      </c>
      <c r="Z55">
        <f t="shared" si="14"/>
        <v>91.319507370133252</v>
      </c>
      <c r="AA55">
        <f t="shared" si="15"/>
        <v>6.0879671580088832</v>
      </c>
      <c r="AB55">
        <f t="shared" si="16"/>
        <v>11.824065683982234</v>
      </c>
    </row>
    <row r="56" spans="10:28" x14ac:dyDescent="0.3">
      <c r="J56">
        <v>51</v>
      </c>
      <c r="K56">
        <f t="shared" si="0"/>
        <v>-0.39794863130761032</v>
      </c>
      <c r="L56">
        <f t="shared" si="1"/>
        <v>60.123203285420942</v>
      </c>
      <c r="M56">
        <f t="shared" si="2"/>
        <v>1.0493478541764676</v>
      </c>
      <c r="N56">
        <f t="shared" si="3"/>
        <v>0.49813662847840551</v>
      </c>
      <c r="O56">
        <f t="shared" si="4"/>
        <v>-0.19823278950716905</v>
      </c>
      <c r="P56">
        <f t="shared" si="5"/>
        <v>-0.19955460005873685</v>
      </c>
      <c r="Q56">
        <f t="shared" si="6"/>
        <v>-11.433636365786711</v>
      </c>
      <c r="R56">
        <f t="shared" si="7"/>
        <v>-0.20224637531059422</v>
      </c>
      <c r="S56">
        <f t="shared" si="8"/>
        <v>-3.3476632173891262E-2</v>
      </c>
      <c r="T56">
        <f t="shared" si="9"/>
        <v>1.6042792149169338</v>
      </c>
      <c r="U56">
        <f t="shared" si="10"/>
        <v>91.918428175301443</v>
      </c>
      <c r="V56">
        <f t="shared" si="11"/>
        <v>6.1278952116867629</v>
      </c>
      <c r="X56">
        <f t="shared" si="12"/>
        <v>-2.2333787568075872E-2</v>
      </c>
      <c r="Y56">
        <f t="shared" si="13"/>
        <v>1.5931319714548557</v>
      </c>
      <c r="Z56">
        <f t="shared" si="14"/>
        <v>91.279738171719572</v>
      </c>
      <c r="AA56">
        <f t="shared" si="15"/>
        <v>6.0853158781146384</v>
      </c>
      <c r="AB56">
        <f t="shared" si="16"/>
        <v>11.829368243770723</v>
      </c>
    </row>
    <row r="57" spans="10:28" x14ac:dyDescent="0.3">
      <c r="J57">
        <v>52</v>
      </c>
      <c r="K57">
        <f t="shared" si="0"/>
        <v>-0.39794863130761032</v>
      </c>
      <c r="L57">
        <f t="shared" si="1"/>
        <v>61.108829568788501</v>
      </c>
      <c r="M57">
        <f t="shared" si="2"/>
        <v>1.0665502780154261</v>
      </c>
      <c r="N57">
        <f t="shared" si="3"/>
        <v>0.4831474640149685</v>
      </c>
      <c r="O57">
        <f t="shared" si="4"/>
        <v>-0.19226787202449963</v>
      </c>
      <c r="P57">
        <f t="shared" si="5"/>
        <v>-0.19347261499350202</v>
      </c>
      <c r="Q57">
        <f t="shared" si="6"/>
        <v>-11.085164290487159</v>
      </c>
      <c r="R57">
        <f t="shared" si="7"/>
        <v>-0.19592331495875753</v>
      </c>
      <c r="S57">
        <f t="shared" si="8"/>
        <v>-3.2430013833826189E-2</v>
      </c>
      <c r="T57">
        <f t="shared" si="9"/>
        <v>1.6032320277929437</v>
      </c>
      <c r="U57">
        <f t="shared" si="10"/>
        <v>91.858428772736374</v>
      </c>
      <c r="V57">
        <f t="shared" si="11"/>
        <v>6.1238952515157585</v>
      </c>
      <c r="X57">
        <f t="shared" si="12"/>
        <v>-2.1635540756674818E-2</v>
      </c>
      <c r="Y57">
        <f t="shared" si="13"/>
        <v>1.5924335558278171</v>
      </c>
      <c r="Z57">
        <f t="shared" si="14"/>
        <v>91.239721903944286</v>
      </c>
      <c r="AA57">
        <f t="shared" si="15"/>
        <v>6.0826481269296186</v>
      </c>
      <c r="AB57">
        <f t="shared" si="16"/>
        <v>11.834703746140763</v>
      </c>
    </row>
    <row r="58" spans="10:28" x14ac:dyDescent="0.3">
      <c r="J58">
        <v>53</v>
      </c>
      <c r="K58">
        <f t="shared" si="0"/>
        <v>-0.39794863130761032</v>
      </c>
      <c r="L58">
        <f t="shared" si="1"/>
        <v>62.094455852156059</v>
      </c>
      <c r="M58">
        <f t="shared" si="2"/>
        <v>1.0837527018543844</v>
      </c>
      <c r="N58">
        <f t="shared" si="3"/>
        <v>0.46801532844383448</v>
      </c>
      <c r="O58">
        <f t="shared" si="4"/>
        <v>-0.18624605938520564</v>
      </c>
      <c r="P58">
        <f t="shared" si="5"/>
        <v>-0.18733996003913331</v>
      </c>
      <c r="Q58">
        <f t="shared" si="6"/>
        <v>-10.733789044391836</v>
      </c>
      <c r="R58">
        <f t="shared" si="7"/>
        <v>-0.18956281484024426</v>
      </c>
      <c r="S58">
        <f t="shared" si="8"/>
        <v>-3.1377198313239166E-2</v>
      </c>
      <c r="T58">
        <f t="shared" si="9"/>
        <v>1.6021786760152275</v>
      </c>
      <c r="U58">
        <f t="shared" si="10"/>
        <v>91.798076161530631</v>
      </c>
      <c r="V58">
        <f t="shared" si="11"/>
        <v>6.119871744102042</v>
      </c>
      <c r="X58">
        <f t="shared" si="12"/>
        <v>-2.0933159523609742E-2</v>
      </c>
      <c r="Y58">
        <f t="shared" si="13"/>
        <v>1.5917310154285842</v>
      </c>
      <c r="Z58">
        <f t="shared" si="14"/>
        <v>91.199469304130801</v>
      </c>
      <c r="AA58">
        <f t="shared" si="15"/>
        <v>6.079964620275387</v>
      </c>
      <c r="AB58">
        <f t="shared" si="16"/>
        <v>11.840070759449226</v>
      </c>
    </row>
    <row r="59" spans="10:28" x14ac:dyDescent="0.3">
      <c r="J59">
        <v>54</v>
      </c>
      <c r="K59">
        <f t="shared" si="0"/>
        <v>-0.39794863130761032</v>
      </c>
      <c r="L59">
        <f t="shared" si="1"/>
        <v>63.080082135523611</v>
      </c>
      <c r="M59">
        <f t="shared" si="2"/>
        <v>1.100955125693343</v>
      </c>
      <c r="N59">
        <f t="shared" si="3"/>
        <v>0.45274469960737107</v>
      </c>
      <c r="O59">
        <f t="shared" si="4"/>
        <v>-0.18016913354052849</v>
      </c>
      <c r="P59">
        <f t="shared" si="5"/>
        <v>-0.18115839588760432</v>
      </c>
      <c r="Q59">
        <f t="shared" si="6"/>
        <v>-10.379611507719856</v>
      </c>
      <c r="R59">
        <f t="shared" si="7"/>
        <v>-0.18316653564172494</v>
      </c>
      <c r="S59">
        <f t="shared" si="8"/>
        <v>-3.0318460495656504E-2</v>
      </c>
      <c r="T59">
        <f t="shared" si="9"/>
        <v>1.6011194340467751</v>
      </c>
      <c r="U59">
        <f t="shared" si="10"/>
        <v>91.737386067255187</v>
      </c>
      <c r="V59">
        <f t="shared" si="11"/>
        <v>6.1158257378170129</v>
      </c>
      <c r="X59">
        <f t="shared" si="12"/>
        <v>-2.0226827256213355E-2</v>
      </c>
      <c r="Y59">
        <f t="shared" si="13"/>
        <v>1.5910245335203292</v>
      </c>
      <c r="Z59">
        <f t="shared" si="14"/>
        <v>91.158990872485433</v>
      </c>
      <c r="AA59">
        <f t="shared" si="15"/>
        <v>6.0772660581656952</v>
      </c>
      <c r="AB59">
        <f t="shared" si="16"/>
        <v>11.84546788366861</v>
      </c>
    </row>
    <row r="60" spans="10:28" x14ac:dyDescent="0.3">
      <c r="J60">
        <v>55</v>
      </c>
      <c r="K60">
        <f t="shared" si="0"/>
        <v>-0.39794863130761032</v>
      </c>
      <c r="L60">
        <f t="shared" si="1"/>
        <v>64.065708418891177</v>
      </c>
      <c r="M60">
        <f t="shared" si="2"/>
        <v>1.1181575495323015</v>
      </c>
      <c r="N60">
        <f t="shared" si="3"/>
        <v>0.43734009633033205</v>
      </c>
      <c r="O60">
        <f t="shared" si="4"/>
        <v>-0.17403889275059409</v>
      </c>
      <c r="P60">
        <f t="shared" si="5"/>
        <v>-0.17492968158177047</v>
      </c>
      <c r="Q60">
        <f t="shared" si="6"/>
        <v>-10.022732466202818</v>
      </c>
      <c r="R60">
        <f t="shared" si="7"/>
        <v>-0.17673610136755413</v>
      </c>
      <c r="S60">
        <f t="shared" si="8"/>
        <v>-2.9254069192800242E-2</v>
      </c>
      <c r="T60">
        <f t="shared" si="9"/>
        <v>1.600054570203584</v>
      </c>
      <c r="U60">
        <f t="shared" si="10"/>
        <v>91.676373863284255</v>
      </c>
      <c r="V60">
        <f t="shared" si="11"/>
        <v>6.1117582575522835</v>
      </c>
      <c r="X60">
        <f t="shared" si="12"/>
        <v>-1.951672329104092E-2</v>
      </c>
      <c r="Y60">
        <f t="shared" si="13"/>
        <v>1.5903142892931001</v>
      </c>
      <c r="Z60">
        <f t="shared" si="14"/>
        <v>91.118296875841693</v>
      </c>
      <c r="AA60">
        <f t="shared" si="15"/>
        <v>6.0745531250561129</v>
      </c>
      <c r="AB60">
        <f t="shared" si="16"/>
        <v>11.850893749887774</v>
      </c>
    </row>
    <row r="61" spans="10:28" x14ac:dyDescent="0.3">
      <c r="J61">
        <v>56</v>
      </c>
      <c r="K61">
        <f t="shared" si="0"/>
        <v>-0.39794863130761032</v>
      </c>
      <c r="L61">
        <f t="shared" si="1"/>
        <v>65.051334702258728</v>
      </c>
      <c r="M61">
        <f t="shared" si="2"/>
        <v>1.1353599733712598</v>
      </c>
      <c r="N61">
        <f t="shared" si="3"/>
        <v>0.42180607708266354</v>
      </c>
      <c r="O61">
        <f t="shared" si="4"/>
        <v>-0.16785715105227833</v>
      </c>
      <c r="P61">
        <f t="shared" si="5"/>
        <v>-0.16865557427276426</v>
      </c>
      <c r="Q61">
        <f t="shared" si="6"/>
        <v>-9.6632525971845808</v>
      </c>
      <c r="R61">
        <f t="shared" si="7"/>
        <v>-0.17027310000908788</v>
      </c>
      <c r="S61">
        <f t="shared" si="8"/>
        <v>-2.8184287255376316E-2</v>
      </c>
      <c r="T61">
        <f t="shared" si="9"/>
        <v>1.5989843467685008</v>
      </c>
      <c r="U61">
        <f t="shared" si="10"/>
        <v>91.615054577317991</v>
      </c>
      <c r="V61">
        <f t="shared" si="11"/>
        <v>6.1076703051545325</v>
      </c>
      <c r="X61">
        <f t="shared" si="12"/>
        <v>-1.8803022987782088E-2</v>
      </c>
      <c r="Y61">
        <f t="shared" si="13"/>
        <v>1.589600457938636</v>
      </c>
      <c r="Z61">
        <f t="shared" si="14"/>
        <v>91.077397351946786</v>
      </c>
      <c r="AA61">
        <f t="shared" si="15"/>
        <v>6.0718264901297854</v>
      </c>
      <c r="AB61">
        <f t="shared" si="16"/>
        <v>11.856347019740429</v>
      </c>
    </row>
    <row r="62" spans="10:28" x14ac:dyDescent="0.3">
      <c r="J62">
        <v>57</v>
      </c>
      <c r="K62">
        <f t="shared" si="0"/>
        <v>-0.39794863130761032</v>
      </c>
      <c r="L62">
        <f t="shared" si="1"/>
        <v>66.03696098562628</v>
      </c>
      <c r="M62">
        <f t="shared" si="2"/>
        <v>1.1525623972102184</v>
      </c>
      <c r="N62">
        <f t="shared" si="3"/>
        <v>0.40614723863057883</v>
      </c>
      <c r="O62">
        <f t="shared" si="4"/>
        <v>-0.16162573772240424</v>
      </c>
      <c r="P62">
        <f t="shared" si="5"/>
        <v>-0.16233782901017479</v>
      </c>
      <c r="Q62">
        <f t="shared" si="6"/>
        <v>-9.3012724575994348</v>
      </c>
      <c r="R62">
        <f t="shared" si="7"/>
        <v>-0.16377908429444557</v>
      </c>
      <c r="S62">
        <f t="shared" si="8"/>
        <v>-2.7109371697178114E-2</v>
      </c>
      <c r="T62">
        <f t="shared" si="9"/>
        <v>1.5979090201183883</v>
      </c>
      <c r="U62">
        <f t="shared" si="10"/>
        <v>91.553442898668607</v>
      </c>
      <c r="V62">
        <f t="shared" si="11"/>
        <v>6.1035628599112401</v>
      </c>
      <c r="X62">
        <f t="shared" si="12"/>
        <v>-1.808589781205603E-2</v>
      </c>
      <c r="Y62">
        <f t="shared" si="13"/>
        <v>1.5888832107340694</v>
      </c>
      <c r="Z62">
        <f t="shared" si="14"/>
        <v>91.036302114257566</v>
      </c>
      <c r="AA62">
        <f t="shared" si="15"/>
        <v>6.0690868076171709</v>
      </c>
      <c r="AB62">
        <f t="shared" si="16"/>
        <v>11.861826384765658</v>
      </c>
    </row>
    <row r="63" spans="10:28" x14ac:dyDescent="0.3">
      <c r="J63">
        <v>58</v>
      </c>
      <c r="K63">
        <f t="shared" si="0"/>
        <v>-0.39794863130761032</v>
      </c>
      <c r="L63">
        <f t="shared" si="1"/>
        <v>67.022587268993846</v>
      </c>
      <c r="M63">
        <f t="shared" si="2"/>
        <v>1.1697648210491769</v>
      </c>
      <c r="N63">
        <f t="shared" si="3"/>
        <v>0.39036821467630262</v>
      </c>
      <c r="O63">
        <f t="shared" si="4"/>
        <v>-0.15534649673643003</v>
      </c>
      <c r="P63">
        <f t="shared" si="5"/>
        <v>-0.15597819856382181</v>
      </c>
      <c r="Q63">
        <f t="shared" si="6"/>
        <v>-8.9368924737605084</v>
      </c>
      <c r="R63">
        <f t="shared" si="7"/>
        <v>-0.15725557251366235</v>
      </c>
      <c r="S63">
        <f t="shared" si="8"/>
        <v>-2.6029573831669043E-2</v>
      </c>
      <c r="T63">
        <f t="shared" si="9"/>
        <v>1.5968288408637725</v>
      </c>
      <c r="U63">
        <f t="shared" si="10"/>
        <v>91.491553186261541</v>
      </c>
      <c r="V63">
        <f t="shared" si="11"/>
        <v>6.0994368790841031</v>
      </c>
      <c r="X63">
        <f t="shared" si="12"/>
        <v>-1.7365515426531909E-2</v>
      </c>
      <c r="Y63">
        <f t="shared" si="13"/>
        <v>1.5881627151339544</v>
      </c>
      <c r="Z63">
        <f t="shared" si="14"/>
        <v>90.995020757213226</v>
      </c>
      <c r="AA63">
        <f t="shared" si="15"/>
        <v>6.0663347171475488</v>
      </c>
      <c r="AB63">
        <f t="shared" si="16"/>
        <v>11.867330565704902</v>
      </c>
    </row>
    <row r="64" spans="10:28" x14ac:dyDescent="0.3">
      <c r="J64">
        <v>59</v>
      </c>
      <c r="K64">
        <f t="shared" si="0"/>
        <v>-0.39794863130761032</v>
      </c>
      <c r="L64">
        <f t="shared" si="1"/>
        <v>68.008213552361397</v>
      </c>
      <c r="M64">
        <f t="shared" si="2"/>
        <v>1.1869672448881354</v>
      </c>
      <c r="N64">
        <f t="shared" si="3"/>
        <v>0.37447367448688301</v>
      </c>
      <c r="O64">
        <f t="shared" si="4"/>
        <v>-0.14902128622278668</v>
      </c>
      <c r="P64">
        <f t="shared" si="5"/>
        <v>-0.14957843327591183</v>
      </c>
      <c r="Q64">
        <f t="shared" si="6"/>
        <v>-8.5702129328889409</v>
      </c>
      <c r="R64">
        <f t="shared" si="7"/>
        <v>-0.15070404941434118</v>
      </c>
      <c r="S64">
        <f t="shared" si="8"/>
        <v>-2.4945139420234436E-2</v>
      </c>
      <c r="T64">
        <f t="shared" si="9"/>
        <v>1.5957440540001493</v>
      </c>
      <c r="U64">
        <f t="shared" si="10"/>
        <v>91.429399477304685</v>
      </c>
      <c r="V64">
        <f t="shared" si="11"/>
        <v>6.095293298486979</v>
      </c>
      <c r="X64">
        <f t="shared" si="12"/>
        <v>-1.6642039789834473E-2</v>
      </c>
      <c r="Y64">
        <f t="shared" si="13"/>
        <v>1.5874391348700772</v>
      </c>
      <c r="Z64">
        <f t="shared" si="14"/>
        <v>90.953562661954081</v>
      </c>
      <c r="AA64">
        <f t="shared" si="15"/>
        <v>6.0635708441302718</v>
      </c>
      <c r="AB64">
        <f t="shared" si="16"/>
        <v>11.872858311739456</v>
      </c>
    </row>
    <row r="65" spans="10:28" x14ac:dyDescent="0.3">
      <c r="J65">
        <v>60</v>
      </c>
      <c r="K65">
        <f t="shared" si="0"/>
        <v>-0.39794863130761032</v>
      </c>
      <c r="L65">
        <f t="shared" si="1"/>
        <v>68.993839835728949</v>
      </c>
      <c r="M65">
        <f t="shared" si="2"/>
        <v>1.2041696687270937</v>
      </c>
      <c r="N65">
        <f t="shared" si="3"/>
        <v>0.35846832151248087</v>
      </c>
      <c r="O65">
        <f t="shared" si="4"/>
        <v>-0.14265197791302817</v>
      </c>
      <c r="P65">
        <f t="shared" si="5"/>
        <v>-0.14314028094235323</v>
      </c>
      <c r="Q65">
        <f t="shared" si="6"/>
        <v>-8.2013339763137303</v>
      </c>
      <c r="R65">
        <f t="shared" si="7"/>
        <v>-0.14412596716309178</v>
      </c>
      <c r="S65">
        <f t="shared" si="8"/>
        <v>-2.3856308831322798E-2</v>
      </c>
      <c r="T65">
        <f t="shared" si="9"/>
        <v>1.5946548990701626</v>
      </c>
      <c r="U65">
        <f t="shared" si="10"/>
        <v>91.366995496580572</v>
      </c>
      <c r="V65">
        <f t="shared" si="11"/>
        <v>6.091133033105371</v>
      </c>
      <c r="X65">
        <f t="shared" si="12"/>
        <v>-1.5915631262714437E-2</v>
      </c>
      <c r="Y65">
        <f t="shared" si="13"/>
        <v>1.586712630058527</v>
      </c>
      <c r="Z65">
        <f t="shared" si="14"/>
        <v>90.911937002456327</v>
      </c>
      <c r="AA65">
        <f t="shared" si="15"/>
        <v>6.0607958001637554</v>
      </c>
      <c r="AB65">
        <f t="shared" si="16"/>
        <v>11.878408399672489</v>
      </c>
    </row>
    <row r="66" spans="10:28" x14ac:dyDescent="0.3">
      <c r="J66">
        <v>61</v>
      </c>
      <c r="K66">
        <f t="shared" si="0"/>
        <v>-0.39794863130761032</v>
      </c>
      <c r="L66">
        <f t="shared" si="1"/>
        <v>69.979466119096514</v>
      </c>
      <c r="M66">
        <f t="shared" si="2"/>
        <v>1.2213720925660525</v>
      </c>
      <c r="N66">
        <f t="shared" si="3"/>
        <v>0.342356891994542</v>
      </c>
      <c r="O66">
        <f t="shared" si="4"/>
        <v>-0.13624045658795536</v>
      </c>
      <c r="P66">
        <f t="shared" si="5"/>
        <v>-0.13666548672199139</v>
      </c>
      <c r="Q66">
        <f t="shared" si="6"/>
        <v>-7.8303555942712988</v>
      </c>
      <c r="R66">
        <f t="shared" si="7"/>
        <v>-0.13752274636822043</v>
      </c>
      <c r="S66">
        <f t="shared" si="8"/>
        <v>-2.2763317209725516E-2</v>
      </c>
      <c r="T66">
        <f t="shared" si="9"/>
        <v>1.5935616103358987</v>
      </c>
      <c r="U66">
        <f t="shared" si="10"/>
        <v>91.304354666318062</v>
      </c>
      <c r="V66">
        <f t="shared" si="11"/>
        <v>6.0869569777545376</v>
      </c>
      <c r="X66">
        <f t="shared" si="12"/>
        <v>-1.5186446720982714E-2</v>
      </c>
      <c r="Y66">
        <f t="shared" si="13"/>
        <v>1.5859833573135236</v>
      </c>
      <c r="Z66">
        <f t="shared" si="14"/>
        <v>90.870152752053713</v>
      </c>
      <c r="AA66">
        <f t="shared" si="15"/>
        <v>6.0580101834702473</v>
      </c>
      <c r="AB66">
        <f t="shared" si="16"/>
        <v>11.883979633059505</v>
      </c>
    </row>
    <row r="67" spans="10:28" x14ac:dyDescent="0.3">
      <c r="J67">
        <v>62</v>
      </c>
      <c r="K67">
        <f t="shared" si="0"/>
        <v>-0.39794863130761032</v>
      </c>
      <c r="L67">
        <f t="shared" si="1"/>
        <v>70.965092402464066</v>
      </c>
      <c r="M67">
        <f t="shared" si="2"/>
        <v>1.2385745164050108</v>
      </c>
      <c r="N67">
        <f t="shared" si="3"/>
        <v>0.32614415356426962</v>
      </c>
      <c r="O67">
        <f t="shared" si="4"/>
        <v>-0.12978861951988019</v>
      </c>
      <c r="P67">
        <f t="shared" si="5"/>
        <v>-0.13015579307252101</v>
      </c>
      <c r="Q67">
        <f t="shared" si="6"/>
        <v>-7.4573776222335315</v>
      </c>
      <c r="R67">
        <f t="shared" si="7"/>
        <v>-0.13089577715932446</v>
      </c>
      <c r="S67">
        <f t="shared" si="8"/>
        <v>-2.16663946552757E-2</v>
      </c>
      <c r="T67">
        <f t="shared" si="9"/>
        <v>1.5924644169605673</v>
      </c>
      <c r="U67">
        <f t="shared" si="10"/>
        <v>91.241490116601867</v>
      </c>
      <c r="V67">
        <f t="shared" si="11"/>
        <v>6.0827660077734578</v>
      </c>
      <c r="X67">
        <f t="shared" si="12"/>
        <v>-1.4454639674728523E-2</v>
      </c>
      <c r="Y67">
        <f t="shared" si="13"/>
        <v>1.5852514698675209</v>
      </c>
      <c r="Z67">
        <f t="shared" si="14"/>
        <v>90.828218690319133</v>
      </c>
      <c r="AA67">
        <f t="shared" si="15"/>
        <v>6.0552145793546091</v>
      </c>
      <c r="AB67">
        <f t="shared" si="16"/>
        <v>11.889570841290782</v>
      </c>
    </row>
    <row r="68" spans="10:28" x14ac:dyDescent="0.3">
      <c r="J68">
        <v>63</v>
      </c>
      <c r="K68">
        <f t="shared" si="0"/>
        <v>-0.39794863130761032</v>
      </c>
      <c r="L68">
        <f t="shared" si="1"/>
        <v>71.950718685831617</v>
      </c>
      <c r="M68">
        <f t="shared" si="2"/>
        <v>1.2557769402439691</v>
      </c>
      <c r="N68">
        <f t="shared" si="3"/>
        <v>0.30983490383180273</v>
      </c>
      <c r="O68">
        <f t="shared" si="4"/>
        <v>-0.12329837591119097</v>
      </c>
      <c r="P68">
        <f t="shared" si="5"/>
        <v>-0.1236129397118228</v>
      </c>
      <c r="Q68">
        <f t="shared" si="6"/>
        <v>-7.0824997386925368</v>
      </c>
      <c r="R68">
        <f t="shared" si="7"/>
        <v>-0.12424642031962772</v>
      </c>
      <c r="S68">
        <f t="shared" si="8"/>
        <v>-2.0565766410276864E-2</v>
      </c>
      <c r="T68">
        <f t="shared" si="9"/>
        <v>1.5913635431988791</v>
      </c>
      <c r="U68">
        <f t="shared" si="10"/>
        <v>91.178414696280427</v>
      </c>
      <c r="V68">
        <f t="shared" si="11"/>
        <v>6.0785609797520284</v>
      </c>
      <c r="X68">
        <f t="shared" si="12"/>
        <v>-1.3720360393361644E-2</v>
      </c>
      <c r="Y68">
        <f t="shared" si="13"/>
        <v>1.5845171176971238</v>
      </c>
      <c r="Z68">
        <f t="shared" si="14"/>
        <v>90.786143410279124</v>
      </c>
      <c r="AA68">
        <f t="shared" si="15"/>
        <v>6.052409560685275</v>
      </c>
      <c r="AB68">
        <f t="shared" si="16"/>
        <v>11.89518087862945</v>
      </c>
    </row>
    <row r="69" spans="10:28" x14ac:dyDescent="0.3">
      <c r="J69">
        <v>64</v>
      </c>
      <c r="K69">
        <f t="shared" si="0"/>
        <v>-0.39794863130761032</v>
      </c>
      <c r="L69">
        <f t="shared" si="1"/>
        <v>72.936344969199183</v>
      </c>
      <c r="M69">
        <f t="shared" si="2"/>
        <v>1.2729793640829279</v>
      </c>
      <c r="N69">
        <f t="shared" si="3"/>
        <v>0.29343396896652729</v>
      </c>
      <c r="O69">
        <f t="shared" si="4"/>
        <v>-0.11677164632938934</v>
      </c>
      <c r="P69">
        <f t="shared" si="5"/>
        <v>-0.1170386636034754</v>
      </c>
      <c r="Q69">
        <f t="shared" si="6"/>
        <v>-6.7058214643305396</v>
      </c>
      <c r="R69">
        <f t="shared" si="7"/>
        <v>-0.11757600846708953</v>
      </c>
      <c r="S69">
        <f t="shared" si="8"/>
        <v>-1.9461653055004836E-2</v>
      </c>
      <c r="T69">
        <f t="shared" si="9"/>
        <v>1.5902592085954554</v>
      </c>
      <c r="U69">
        <f t="shared" si="10"/>
        <v>91.115140984334005</v>
      </c>
      <c r="V69">
        <f t="shared" si="11"/>
        <v>6.0743427322889341</v>
      </c>
      <c r="X69">
        <f t="shared" si="12"/>
        <v>-1.2983756036040637E-2</v>
      </c>
      <c r="Y69">
        <f t="shared" si="13"/>
        <v>1.5837804476543795</v>
      </c>
      <c r="Z69">
        <f t="shared" si="14"/>
        <v>90.74393532593615</v>
      </c>
      <c r="AA69">
        <f t="shared" si="15"/>
        <v>6.0495956883957431</v>
      </c>
      <c r="AB69">
        <f t="shared" si="16"/>
        <v>11.900808623208514</v>
      </c>
    </row>
    <row r="70" spans="10:28" x14ac:dyDescent="0.3">
      <c r="J70">
        <v>65</v>
      </c>
      <c r="K70">
        <f t="shared" si="0"/>
        <v>-0.39794863130761032</v>
      </c>
      <c r="L70">
        <f t="shared" si="1"/>
        <v>73.921971252566735</v>
      </c>
      <c r="M70">
        <f t="shared" si="2"/>
        <v>1.2901817879218862</v>
      </c>
      <c r="N70">
        <f t="shared" si="3"/>
        <v>0.27694620226893646</v>
      </c>
      <c r="O70">
        <f t="shared" si="4"/>
        <v>-0.11021036213876387</v>
      </c>
      <c r="P70">
        <f t="shared" si="5"/>
        <v>-0.11043469896518941</v>
      </c>
      <c r="Q70">
        <f t="shared" si="6"/>
        <v>-6.3274421625031128</v>
      </c>
      <c r="R70">
        <f t="shared" si="7"/>
        <v>-0.11088584728050335</v>
      </c>
      <c r="S70">
        <f t="shared" si="8"/>
        <v>-1.835427071065655E-2</v>
      </c>
      <c r="T70">
        <f t="shared" si="9"/>
        <v>1.5891516281906435</v>
      </c>
      <c r="U70">
        <f t="shared" si="10"/>
        <v>91.051681301666875</v>
      </c>
      <c r="V70">
        <f t="shared" si="11"/>
        <v>6.070112086777792</v>
      </c>
      <c r="X70">
        <f t="shared" si="12"/>
        <v>-1.2244970787069228E-2</v>
      </c>
      <c r="Y70">
        <f t="shared" si="13"/>
        <v>1.5830416036030253</v>
      </c>
      <c r="Z70">
        <f t="shared" si="14"/>
        <v>90.701602680075197</v>
      </c>
      <c r="AA70">
        <f t="shared" si="15"/>
        <v>6.0467735120050135</v>
      </c>
      <c r="AB70">
        <f t="shared" si="16"/>
        <v>11.906452975989973</v>
      </c>
    </row>
    <row r="71" spans="10:28" x14ac:dyDescent="0.3">
      <c r="J71">
        <v>66</v>
      </c>
      <c r="K71">
        <f t="shared" ref="K71:K134" si="17">-SIN(23.45*PI()/180)</f>
        <v>-0.39794863130761032</v>
      </c>
      <c r="L71">
        <f t="shared" ref="L71:L134" si="18">360*(J71+10)/365.25</f>
        <v>74.907597535934286</v>
      </c>
      <c r="M71">
        <f t="shared" ref="M71:M134" si="19">L71*PI()/180</f>
        <v>1.3073842117608447</v>
      </c>
      <c r="N71">
        <f t="shared" ref="N71:N134" si="20">COS(M71)</f>
        <v>0.26037648273445813</v>
      </c>
      <c r="O71">
        <f t="shared" ref="O71:O134" si="21">K71*N71</f>
        <v>-0.10361646492886724</v>
      </c>
      <c r="P71">
        <f t="shared" ref="P71:P134" si="22">ASIN(O71)</f>
        <v>-0.10380277729891242</v>
      </c>
      <c r="Q71">
        <f t="shared" ref="Q71:Q134" si="23">P71*180/PI()</f>
        <v>-5.9474610409640727</v>
      </c>
      <c r="R71">
        <f t="shared" ref="R71:R134" si="24">TAN(P71)</f>
        <v>-0.1041772167669885</v>
      </c>
      <c r="S71">
        <f t="shared" ref="S71:S134" si="25">TAN(D$19)*R71</f>
        <v>-1.7243831249150337E-2</v>
      </c>
      <c r="T71">
        <f t="shared" ref="T71:T134" si="26">ACOS(S71)</f>
        <v>1.5880410127331368</v>
      </c>
      <c r="U71">
        <f t="shared" ref="U71:U134" si="27">T71*180/PI()</f>
        <v>90.988047723289753</v>
      </c>
      <c r="V71">
        <f t="shared" ref="V71:V134" si="28">U71/15</f>
        <v>6.0658698482193172</v>
      </c>
      <c r="X71">
        <f t="shared" ref="X71:X134" si="29">TAN(0.109983)*TAN(P71)</f>
        <v>-1.1504145995863668E-2</v>
      </c>
      <c r="Y71">
        <f t="shared" ref="Y71:Y134" si="30">ACOS(X71)</f>
        <v>1.5823007265592932</v>
      </c>
      <c r="Z71">
        <f t="shared" ref="Z71:Z134" si="31">Y71*180/PI()</f>
        <v>90.659153552331219</v>
      </c>
      <c r="AA71">
        <f t="shared" ref="AA71:AA134" si="32">Z71/15</f>
        <v>6.0439435701554149</v>
      </c>
      <c r="AB71">
        <f t="shared" ref="AB71:AB134" si="33">24-2*AA71</f>
        <v>11.91211285968917</v>
      </c>
    </row>
    <row r="72" spans="10:28" x14ac:dyDescent="0.3">
      <c r="J72">
        <v>67</v>
      </c>
      <c r="K72">
        <f t="shared" si="17"/>
        <v>-0.39794863130761032</v>
      </c>
      <c r="L72">
        <f t="shared" si="18"/>
        <v>75.893223819301852</v>
      </c>
      <c r="M72">
        <f t="shared" si="19"/>
        <v>1.3245866355998035</v>
      </c>
      <c r="N72">
        <f t="shared" si="20"/>
        <v>0.24372971360968365</v>
      </c>
      <c r="O72">
        <f t="shared" si="21"/>
        <v>-9.6991905939969453E-2</v>
      </c>
      <c r="P72">
        <f t="shared" si="22"/>
        <v>-9.7144627441362555E-2</v>
      </c>
      <c r="Q72">
        <f t="shared" si="23"/>
        <v>-5.5659771547608354</v>
      </c>
      <c r="R72">
        <f t="shared" si="24"/>
        <v>-9.7451372567466124E-2</v>
      </c>
      <c r="S72">
        <f t="shared" si="25"/>
        <v>-1.6130542509213565E-2</v>
      </c>
      <c r="T72">
        <f t="shared" si="26"/>
        <v>1.5869275688988365</v>
      </c>
      <c r="U72">
        <f t="shared" si="27"/>
        <v>90.924252090859497</v>
      </c>
      <c r="V72">
        <f t="shared" si="28"/>
        <v>6.0616168060572999</v>
      </c>
      <c r="X72">
        <f t="shared" si="29"/>
        <v>-1.0761420321114632E-2</v>
      </c>
      <c r="Y72">
        <f t="shared" si="30"/>
        <v>1.5815579548368974</v>
      </c>
      <c r="Z72">
        <f t="shared" si="31"/>
        <v>90.616595867496287</v>
      </c>
      <c r="AA72">
        <f t="shared" si="32"/>
        <v>6.0411063911664193</v>
      </c>
      <c r="AB72">
        <f t="shared" si="33"/>
        <v>11.917787217667161</v>
      </c>
    </row>
    <row r="73" spans="10:28" x14ac:dyDescent="0.3">
      <c r="J73">
        <v>68</v>
      </c>
      <c r="K73">
        <f t="shared" si="17"/>
        <v>-0.39794863130761032</v>
      </c>
      <c r="L73">
        <f t="shared" si="18"/>
        <v>76.878850102669404</v>
      </c>
      <c r="M73">
        <f t="shared" si="19"/>
        <v>1.3417890594387618</v>
      </c>
      <c r="N73">
        <f t="shared" si="20"/>
        <v>0.22701082094141847</v>
      </c>
      <c r="O73">
        <f t="shared" si="21"/>
        <v>-9.0338645485654484E-2</v>
      </c>
      <c r="P73">
        <f t="shared" si="22"/>
        <v>-9.0461975633747846E-2</v>
      </c>
      <c r="Q73">
        <f t="shared" si="23"/>
        <v>-5.1830894102290426</v>
      </c>
      <c r="R73">
        <f t="shared" si="24"/>
        <v>-9.0709547296884047E-2</v>
      </c>
      <c r="S73">
        <f t="shared" si="25"/>
        <v>-1.5014608518222039E-2</v>
      </c>
      <c r="T73">
        <f t="shared" si="26"/>
        <v>1.5858114995154167</v>
      </c>
      <c r="U73">
        <f t="shared" si="27"/>
        <v>90.860306025545768</v>
      </c>
      <c r="V73">
        <f t="shared" si="28"/>
        <v>6.0573537350363846</v>
      </c>
      <c r="X73">
        <f t="shared" si="29"/>
        <v>-1.00169298787864E-2</v>
      </c>
      <c r="Y73">
        <f t="shared" si="30"/>
        <v>1.5808134241958416</v>
      </c>
      <c r="Z73">
        <f t="shared" si="31"/>
        <v>90.573937404045623</v>
      </c>
      <c r="AA73">
        <f t="shared" si="32"/>
        <v>6.0382624936030416</v>
      </c>
      <c r="AB73">
        <f t="shared" si="33"/>
        <v>11.923475012793917</v>
      </c>
    </row>
    <row r="74" spans="10:28" x14ac:dyDescent="0.3">
      <c r="J74">
        <v>69</v>
      </c>
      <c r="K74">
        <f t="shared" si="17"/>
        <v>-0.39794863130761032</v>
      </c>
      <c r="L74">
        <f t="shared" si="18"/>
        <v>77.864476386036955</v>
      </c>
      <c r="M74">
        <f t="shared" si="19"/>
        <v>1.3589914832777201</v>
      </c>
      <c r="N74">
        <f t="shared" si="20"/>
        <v>0.21022475211898378</v>
      </c>
      <c r="O74">
        <f t="shared" si="21"/>
        <v>-8.3658652372731249E-2</v>
      </c>
      <c r="P74">
        <f t="shared" si="22"/>
        <v>-8.3756545609437946E-2</v>
      </c>
      <c r="Q74">
        <f t="shared" si="23"/>
        <v>-4.7988965700157795</v>
      </c>
      <c r="R74">
        <f t="shared" si="24"/>
        <v>-8.3952951916130863E-2</v>
      </c>
      <c r="S74">
        <f t="shared" si="25"/>
        <v>-1.3896229719284729E-2</v>
      </c>
      <c r="T74">
        <f t="shared" si="26"/>
        <v>1.5846930037920872</v>
      </c>
      <c r="U74">
        <f t="shared" si="27"/>
        <v>90.796220941195557</v>
      </c>
      <c r="V74">
        <f t="shared" si="28"/>
        <v>6.0530813960797039</v>
      </c>
      <c r="X74">
        <f t="shared" si="29"/>
        <v>-9.2708083936154373E-3</v>
      </c>
      <c r="Y74">
        <f t="shared" si="30"/>
        <v>1.5800672679947159</v>
      </c>
      <c r="Z74">
        <f t="shared" si="31"/>
        <v>90.53118580286359</v>
      </c>
      <c r="AA74">
        <f t="shared" si="32"/>
        <v>6.0354123868575726</v>
      </c>
      <c r="AB74">
        <f t="shared" si="33"/>
        <v>11.929175226284855</v>
      </c>
    </row>
    <row r="75" spans="10:28" x14ac:dyDescent="0.3">
      <c r="J75">
        <v>70</v>
      </c>
      <c r="K75">
        <f t="shared" si="17"/>
        <v>-0.39794863130761032</v>
      </c>
      <c r="L75">
        <f t="shared" si="18"/>
        <v>78.850102669404521</v>
      </c>
      <c r="M75">
        <f t="shared" si="19"/>
        <v>1.3761939071166787</v>
      </c>
      <c r="N75">
        <f t="shared" si="20"/>
        <v>0.19337647441020586</v>
      </c>
      <c r="O75">
        <f t="shared" si="21"/>
        <v>-7.6953903318632555E-2</v>
      </c>
      <c r="P75">
        <f t="shared" si="22"/>
        <v>-7.703005869836381E-2</v>
      </c>
      <c r="Q75">
        <f t="shared" si="23"/>
        <v>-4.4134972590612414</v>
      </c>
      <c r="R75">
        <f t="shared" si="24"/>
        <v>-7.7182777132748057E-2</v>
      </c>
      <c r="S75">
        <f t="shared" si="25"/>
        <v>-1.2775603203095254E-2</v>
      </c>
      <c r="T75">
        <f t="shared" si="26"/>
        <v>1.5835722775540741</v>
      </c>
      <c r="U75">
        <f t="shared" si="27"/>
        <v>90.732008057767843</v>
      </c>
      <c r="V75">
        <f t="shared" si="28"/>
        <v>6.0488005371845226</v>
      </c>
      <c r="X75">
        <f t="shared" si="29"/>
        <v>-8.5231873537890933E-3</v>
      </c>
      <c r="Y75">
        <f t="shared" si="30"/>
        <v>1.5793196173461561</v>
      </c>
      <c r="Z75">
        <f t="shared" si="31"/>
        <v>90.488348576150912</v>
      </c>
      <c r="AA75">
        <f t="shared" si="32"/>
        <v>6.0325565717433944</v>
      </c>
      <c r="AB75">
        <f t="shared" si="33"/>
        <v>11.934886856513211</v>
      </c>
    </row>
    <row r="76" spans="10:28" x14ac:dyDescent="0.3">
      <c r="J76">
        <v>71</v>
      </c>
      <c r="K76">
        <f t="shared" si="17"/>
        <v>-0.39794863130761032</v>
      </c>
      <c r="L76">
        <f t="shared" si="18"/>
        <v>79.835728952772072</v>
      </c>
      <c r="M76">
        <f t="shared" si="19"/>
        <v>1.3933963309556372</v>
      </c>
      <c r="N76">
        <f t="shared" si="20"/>
        <v>0.17647097349152166</v>
      </c>
      <c r="O76">
        <f t="shared" si="21"/>
        <v>-7.0226382366472634E-2</v>
      </c>
      <c r="P76">
        <f t="shared" si="22"/>
        <v>-7.0284233946925789E-2</v>
      </c>
      <c r="Q76">
        <f t="shared" si="23"/>
        <v>-4.0269899714689554</v>
      </c>
      <c r="R76">
        <f t="shared" si="24"/>
        <v>-7.0400194827704793E-2</v>
      </c>
      <c r="S76">
        <f t="shared" si="25"/>
        <v>-1.165292294409739E-2</v>
      </c>
      <c r="T76">
        <f t="shared" si="26"/>
        <v>1.582449513481369</v>
      </c>
      <c r="U76">
        <f t="shared" si="27"/>
        <v>90.667678415012915</v>
      </c>
      <c r="V76">
        <f t="shared" si="28"/>
        <v>6.0445118943341942</v>
      </c>
      <c r="X76">
        <f t="shared" si="29"/>
        <v>-7.7741961685023637E-3</v>
      </c>
      <c r="Y76">
        <f t="shared" si="30"/>
        <v>1.5785706012751701</v>
      </c>
      <c r="Z76">
        <f t="shared" si="31"/>
        <v>90.445433116495934</v>
      </c>
      <c r="AA76">
        <f t="shared" si="32"/>
        <v>6.0296955410997288</v>
      </c>
      <c r="AB76">
        <f t="shared" si="33"/>
        <v>11.940608917800542</v>
      </c>
    </row>
    <row r="77" spans="10:28" x14ac:dyDescent="0.3">
      <c r="J77">
        <v>72</v>
      </c>
      <c r="K77">
        <f t="shared" si="17"/>
        <v>-0.39794863130761032</v>
      </c>
      <c r="L77">
        <f t="shared" si="18"/>
        <v>80.821355236139624</v>
      </c>
      <c r="M77">
        <f t="shared" si="19"/>
        <v>1.4105987547945955</v>
      </c>
      <c r="N77">
        <f t="shared" si="20"/>
        <v>0.15951325197263655</v>
      </c>
      <c r="O77">
        <f t="shared" si="21"/>
        <v>-6.3478080297936681E-2</v>
      </c>
      <c r="P77">
        <f t="shared" si="22"/>
        <v>-6.3520788252200672E-2</v>
      </c>
      <c r="Q77">
        <f t="shared" si="23"/>
        <v>-3.6394730781952793</v>
      </c>
      <c r="R77">
        <f t="shared" si="24"/>
        <v>-6.3606359505652368E-2</v>
      </c>
      <c r="S77">
        <f t="shared" si="25"/>
        <v>-1.0528380040537005E-2</v>
      </c>
      <c r="T77">
        <f t="shared" si="26"/>
        <v>1.5813249013513184</v>
      </c>
      <c r="U77">
        <f t="shared" si="27"/>
        <v>90.603242886371802</v>
      </c>
      <c r="V77">
        <f t="shared" si="28"/>
        <v>6.0402161924247872</v>
      </c>
      <c r="X77">
        <f t="shared" si="29"/>
        <v>-7.0239623281074942E-3</v>
      </c>
      <c r="Y77">
        <f t="shared" si="30"/>
        <v>1.577820346880042</v>
      </c>
      <c r="Z77">
        <f t="shared" si="31"/>
        <v>90.402446706093954</v>
      </c>
      <c r="AA77">
        <f t="shared" si="32"/>
        <v>6.0268297804062634</v>
      </c>
      <c r="AB77">
        <f t="shared" si="33"/>
        <v>11.946340439187473</v>
      </c>
    </row>
    <row r="78" spans="10:28" x14ac:dyDescent="0.3">
      <c r="J78">
        <v>73</v>
      </c>
      <c r="K78">
        <f t="shared" si="17"/>
        <v>-0.39794863130761032</v>
      </c>
      <c r="L78">
        <f t="shared" si="18"/>
        <v>81.80698151950719</v>
      </c>
      <c r="M78">
        <f t="shared" si="19"/>
        <v>1.4278011786335543</v>
      </c>
      <c r="N78">
        <f t="shared" si="20"/>
        <v>0.14250832791617088</v>
      </c>
      <c r="O78">
        <f t="shared" si="21"/>
        <v>-5.6710994044176316E-2</v>
      </c>
      <c r="P78">
        <f t="shared" si="22"/>
        <v>-5.6741436509247289E-2</v>
      </c>
      <c r="Q78">
        <f t="shared" si="23"/>
        <v>-3.2510448354893922</v>
      </c>
      <c r="R78">
        <f t="shared" si="24"/>
        <v>-5.6802409766217692E-2</v>
      </c>
      <c r="S78">
        <f t="shared" si="25"/>
        <v>-9.4021629579964586E-3</v>
      </c>
      <c r="T78">
        <f t="shared" si="26"/>
        <v>1.5801986282846521</v>
      </c>
      <c r="U78">
        <f t="shared" si="27"/>
        <v>90.538712193072556</v>
      </c>
      <c r="V78">
        <f t="shared" si="28"/>
        <v>6.0359141462048367</v>
      </c>
      <c r="X78">
        <f t="shared" si="29"/>
        <v>-6.272611566586879E-3</v>
      </c>
      <c r="Y78">
        <f t="shared" si="30"/>
        <v>1.5770689794955477</v>
      </c>
      <c r="Z78">
        <f t="shared" si="31"/>
        <v>90.359396526098649</v>
      </c>
      <c r="AA78">
        <f t="shared" si="32"/>
        <v>6.0239597684065762</v>
      </c>
      <c r="AB78">
        <f t="shared" si="33"/>
        <v>11.952080463186848</v>
      </c>
    </row>
    <row r="79" spans="10:28" x14ac:dyDescent="0.3">
      <c r="J79">
        <v>74</v>
      </c>
      <c r="K79">
        <f t="shared" si="17"/>
        <v>-0.39794863130761032</v>
      </c>
      <c r="L79">
        <f t="shared" si="18"/>
        <v>82.792607802874741</v>
      </c>
      <c r="M79">
        <f t="shared" si="19"/>
        <v>1.4450036024725128</v>
      </c>
      <c r="N79">
        <f t="shared" si="20"/>
        <v>0.12546123335273648</v>
      </c>
      <c r="O79">
        <f t="shared" si="21"/>
        <v>-4.9927126094886191E-2</v>
      </c>
      <c r="P79">
        <f t="shared" si="22"/>
        <v>-4.9947891770319344E-2</v>
      </c>
      <c r="Q79">
        <f t="shared" si="23"/>
        <v>-2.8618033940155159</v>
      </c>
      <c r="R79">
        <f t="shared" si="24"/>
        <v>-4.9989469794027575E-2</v>
      </c>
      <c r="S79">
        <f t="shared" si="25"/>
        <v>-8.2744577760294098E-3</v>
      </c>
      <c r="T79">
        <f t="shared" si="26"/>
        <v>1.5790708789945713</v>
      </c>
      <c r="U79">
        <f t="shared" si="27"/>
        <v>90.474096918402054</v>
      </c>
      <c r="V79">
        <f t="shared" si="28"/>
        <v>6.0316064612268034</v>
      </c>
      <c r="X79">
        <f t="shared" si="29"/>
        <v>-5.5202680260943819E-3</v>
      </c>
      <c r="Y79">
        <f t="shared" si="30"/>
        <v>1.576316622858227</v>
      </c>
      <c r="Z79">
        <f t="shared" si="31"/>
        <v>90.316289666091521</v>
      </c>
      <c r="AA79">
        <f t="shared" si="32"/>
        <v>6.0210859777394345</v>
      </c>
      <c r="AB79">
        <f t="shared" si="33"/>
        <v>11.957828044521131</v>
      </c>
    </row>
    <row r="80" spans="10:28" x14ac:dyDescent="0.3">
      <c r="J80">
        <v>75</v>
      </c>
      <c r="K80">
        <f t="shared" si="17"/>
        <v>-0.39794863130761032</v>
      </c>
      <c r="L80">
        <f t="shared" si="18"/>
        <v>83.778234086242293</v>
      </c>
      <c r="M80">
        <f t="shared" si="19"/>
        <v>1.4622060263114709</v>
      </c>
      <c r="N80">
        <f t="shared" si="20"/>
        <v>0.10837701279187631</v>
      </c>
      <c r="O80">
        <f t="shared" si="21"/>
        <v>-4.3128483905734552E-2</v>
      </c>
      <c r="P80">
        <f t="shared" si="22"/>
        <v>-4.3141865414799981E-2</v>
      </c>
      <c r="Q80">
        <f t="shared" si="23"/>
        <v>-2.4718468085894516</v>
      </c>
      <c r="R80">
        <f t="shared" si="24"/>
        <v>-4.316865086527534E-2</v>
      </c>
      <c r="S80">
        <f t="shared" si="25"/>
        <v>-7.145448437533777E-3</v>
      </c>
      <c r="T80">
        <f t="shared" si="26"/>
        <v>1.5779418360385371</v>
      </c>
      <c r="U80">
        <f t="shared" si="27"/>
        <v>90.409407522132312</v>
      </c>
      <c r="V80">
        <f t="shared" si="28"/>
        <v>6.0272938348088205</v>
      </c>
      <c r="X80">
        <f t="shared" si="29"/>
        <v>-4.7670544233234073E-3</v>
      </c>
      <c r="Y80">
        <f t="shared" si="30"/>
        <v>1.5755633992734706</v>
      </c>
      <c r="Z80">
        <f t="shared" si="31"/>
        <v>90.273133133655264</v>
      </c>
      <c r="AA80">
        <f t="shared" si="32"/>
        <v>6.0182088755770176</v>
      </c>
      <c r="AB80">
        <f t="shared" si="33"/>
        <v>11.963582248845965</v>
      </c>
    </row>
    <row r="81" spans="10:28" x14ac:dyDescent="0.3">
      <c r="J81">
        <v>76</v>
      </c>
      <c r="K81">
        <f t="shared" si="17"/>
        <v>-0.39794863130761032</v>
      </c>
      <c r="L81">
        <f t="shared" si="18"/>
        <v>84.763860369609858</v>
      </c>
      <c r="M81">
        <f t="shared" si="19"/>
        <v>1.4794084501504299</v>
      </c>
      <c r="N81">
        <f t="shared" si="20"/>
        <v>9.1260721729311656E-2</v>
      </c>
      <c r="O81">
        <f t="shared" si="21"/>
        <v>-3.6317079304324269E-2</v>
      </c>
      <c r="P81">
        <f t="shared" si="22"/>
        <v>-3.6325067328683673E-2</v>
      </c>
      <c r="Q81">
        <f t="shared" si="23"/>
        <v>-2.0812730484621302</v>
      </c>
      <c r="R81">
        <f t="shared" si="24"/>
        <v>-3.6341052868755434E-2</v>
      </c>
      <c r="S81">
        <f t="shared" si="25"/>
        <v>-6.0153170005194838E-3</v>
      </c>
      <c r="T81">
        <f t="shared" si="26"/>
        <v>1.5768116800724172</v>
      </c>
      <c r="U81">
        <f t="shared" si="27"/>
        <v>90.344654355082113</v>
      </c>
      <c r="V81">
        <f t="shared" si="28"/>
        <v>6.0229769570054739</v>
      </c>
      <c r="X81">
        <f t="shared" si="29"/>
        <v>-4.0130922174726486E-3</v>
      </c>
      <c r="Y81">
        <f t="shared" si="30"/>
        <v>1.5748094297841948</v>
      </c>
      <c r="Z81">
        <f t="shared" si="31"/>
        <v>90.229933864038117</v>
      </c>
      <c r="AA81">
        <f t="shared" si="32"/>
        <v>6.0153289242692081</v>
      </c>
      <c r="AB81">
        <f t="shared" si="33"/>
        <v>11.969342151461584</v>
      </c>
    </row>
    <row r="82" spans="10:28" x14ac:dyDescent="0.3">
      <c r="J82">
        <v>77</v>
      </c>
      <c r="K82">
        <f t="shared" si="17"/>
        <v>-0.39794863130761032</v>
      </c>
      <c r="L82">
        <f t="shared" si="18"/>
        <v>85.74948665297741</v>
      </c>
      <c r="M82">
        <f t="shared" si="19"/>
        <v>1.496610873989388</v>
      </c>
      <c r="N82">
        <f t="shared" si="20"/>
        <v>7.4117425150944369E-2</v>
      </c>
      <c r="O82">
        <f t="shared" si="21"/>
        <v>-2.9494927894862567E-2</v>
      </c>
      <c r="P82">
        <f t="shared" si="22"/>
        <v>-2.9499206092440212E-2</v>
      </c>
      <c r="Q82">
        <f t="shared" si="23"/>
        <v>-1.6901800080834291</v>
      </c>
      <c r="R82">
        <f t="shared" si="24"/>
        <v>-2.9507765839393969E-2</v>
      </c>
      <c r="S82">
        <f t="shared" si="25"/>
        <v>-4.8842438919446032E-3</v>
      </c>
      <c r="T82">
        <f t="shared" si="26"/>
        <v>1.5756805901066717</v>
      </c>
      <c r="U82">
        <f t="shared" si="27"/>
        <v>90.279847673795302</v>
      </c>
      <c r="V82">
        <f t="shared" si="28"/>
        <v>6.0186565115863537</v>
      </c>
      <c r="X82">
        <f t="shared" si="29"/>
        <v>-3.2585017795917436E-3</v>
      </c>
      <c r="Y82">
        <f t="shared" si="30"/>
        <v>1.5740548343408876</v>
      </c>
      <c r="Z82">
        <f t="shared" si="31"/>
        <v>90.186698729896818</v>
      </c>
      <c r="AA82">
        <f t="shared" si="32"/>
        <v>6.012446581993121</v>
      </c>
      <c r="AB82">
        <f t="shared" si="33"/>
        <v>11.975106836013758</v>
      </c>
    </row>
    <row r="83" spans="10:28" x14ac:dyDescent="0.3">
      <c r="J83">
        <v>78</v>
      </c>
      <c r="K83">
        <f t="shared" si="17"/>
        <v>-0.39794863130761032</v>
      </c>
      <c r="L83">
        <f t="shared" si="18"/>
        <v>86.735112936344976</v>
      </c>
      <c r="M83">
        <f t="shared" si="19"/>
        <v>1.5138132978283465</v>
      </c>
      <c r="N83">
        <f t="shared" si="20"/>
        <v>5.6952196034039754E-2</v>
      </c>
      <c r="O83">
        <f t="shared" si="21"/>
        <v>-2.2664048461708833E-2</v>
      </c>
      <c r="P83">
        <f t="shared" si="22"/>
        <v>-2.2665989176093349E-2</v>
      </c>
      <c r="Q83">
        <f t="shared" si="23"/>
        <v>-1.2986655182793552</v>
      </c>
      <c r="R83">
        <f t="shared" si="24"/>
        <v>-2.266987150238281E-2</v>
      </c>
      <c r="S83">
        <f t="shared" si="25"/>
        <v>-3.7524081633066239E-3</v>
      </c>
      <c r="T83">
        <f t="shared" si="26"/>
        <v>1.5745487437642647</v>
      </c>
      <c r="U83">
        <f t="shared" si="27"/>
        <v>90.214997655318058</v>
      </c>
      <c r="V83">
        <f t="shared" si="28"/>
        <v>6.0143331770212036</v>
      </c>
      <c r="X83">
        <f t="shared" si="29"/>
        <v>-2.503402563097867E-3</v>
      </c>
      <c r="Y83">
        <f t="shared" si="30"/>
        <v>1.5732997319728159</v>
      </c>
      <c r="Z83">
        <f t="shared" si="31"/>
        <v>90.143434551105983</v>
      </c>
      <c r="AA83">
        <f t="shared" si="32"/>
        <v>6.0095623034070655</v>
      </c>
      <c r="AB83">
        <f t="shared" si="33"/>
        <v>11.980875393185869</v>
      </c>
    </row>
    <row r="84" spans="10:28" x14ac:dyDescent="0.3">
      <c r="J84">
        <v>79</v>
      </c>
      <c r="K84">
        <f t="shared" si="17"/>
        <v>-0.39794863130761032</v>
      </c>
      <c r="L84">
        <f t="shared" si="18"/>
        <v>87.720739219712527</v>
      </c>
      <c r="M84">
        <f t="shared" si="19"/>
        <v>1.531015721667305</v>
      </c>
      <c r="N84">
        <f t="shared" si="20"/>
        <v>3.9770113846055943E-2</v>
      </c>
      <c r="O84">
        <f t="shared" si="21"/>
        <v>-1.5826462371985806E-2</v>
      </c>
      <c r="P84">
        <f t="shared" si="22"/>
        <v>-1.582712314036849E-2</v>
      </c>
      <c r="Q84">
        <f t="shared" si="23"/>
        <v>-0.90682735777695611</v>
      </c>
      <c r="R84">
        <f t="shared" si="24"/>
        <v>-1.5828444826117994E-2</v>
      </c>
      <c r="S84">
        <f t="shared" si="25"/>
        <v>-2.6199877476910586E-3</v>
      </c>
      <c r="T84">
        <f t="shared" si="26"/>
        <v>1.5734163175400095</v>
      </c>
      <c r="U84">
        <f t="shared" si="27"/>
        <v>90.150114412058315</v>
      </c>
      <c r="V84">
        <f t="shared" si="28"/>
        <v>6.0100076274705545</v>
      </c>
      <c r="X84">
        <f t="shared" si="29"/>
        <v>-1.7479132752645735E-3</v>
      </c>
      <c r="Y84">
        <f t="shared" si="30"/>
        <v>1.5725442409602</v>
      </c>
      <c r="Z84">
        <f t="shared" si="31"/>
        <v>90.100148104623017</v>
      </c>
      <c r="AA84">
        <f t="shared" si="32"/>
        <v>6.0066765403082014</v>
      </c>
      <c r="AB84">
        <f t="shared" si="33"/>
        <v>11.986646919383597</v>
      </c>
    </row>
    <row r="85" spans="10:28" x14ac:dyDescent="0.3">
      <c r="J85">
        <v>80</v>
      </c>
      <c r="K85">
        <f t="shared" si="17"/>
        <v>-0.39794863130761032</v>
      </c>
      <c r="L85">
        <f t="shared" si="18"/>
        <v>88.706365503080079</v>
      </c>
      <c r="M85">
        <f t="shared" si="19"/>
        <v>1.5482181455062636</v>
      </c>
      <c r="N85">
        <f t="shared" si="20"/>
        <v>2.2576263041545485E-2</v>
      </c>
      <c r="O85">
        <f t="shared" si="21"/>
        <v>-8.9841929774236128E-3</v>
      </c>
      <c r="P85">
        <f t="shared" si="22"/>
        <v>-8.9843138427530504E-3</v>
      </c>
      <c r="Q85">
        <f t="shared" si="23"/>
        <v>-0.51476326501071212</v>
      </c>
      <c r="R85">
        <f t="shared" si="24"/>
        <v>-8.9845555821926083E-3</v>
      </c>
      <c r="S85">
        <f t="shared" si="25"/>
        <v>-1.4871597179877275E-3</v>
      </c>
      <c r="T85">
        <f t="shared" si="26"/>
        <v>1.5722834870610629</v>
      </c>
      <c r="U85">
        <f t="shared" si="27"/>
        <v>90.085208006710886</v>
      </c>
      <c r="V85">
        <f t="shared" si="28"/>
        <v>6.0056805337807253</v>
      </c>
      <c r="X85">
        <f t="shared" si="29"/>
        <v>-9.9215204948965483E-4</v>
      </c>
      <c r="Y85">
        <f t="shared" si="30"/>
        <v>1.5717884790071597</v>
      </c>
      <c r="Z85">
        <f t="shared" si="31"/>
        <v>90.056846134397247</v>
      </c>
      <c r="AA85">
        <f t="shared" si="32"/>
        <v>6.0037897422931499</v>
      </c>
      <c r="AB85">
        <f t="shared" si="33"/>
        <v>11.9924205154137</v>
      </c>
    </row>
    <row r="86" spans="10:28" x14ac:dyDescent="0.3">
      <c r="J86">
        <v>81</v>
      </c>
      <c r="K86">
        <f t="shared" si="17"/>
        <v>-0.39794863130761032</v>
      </c>
      <c r="L86">
        <f t="shared" si="18"/>
        <v>89.691991786447645</v>
      </c>
      <c r="M86">
        <f t="shared" si="19"/>
        <v>1.5654205693452221</v>
      </c>
      <c r="N86">
        <f t="shared" si="20"/>
        <v>5.3757315575838844E-3</v>
      </c>
      <c r="O86">
        <f t="shared" si="21"/>
        <v>-2.1392650156176348E-3</v>
      </c>
      <c r="P86">
        <f t="shared" si="22"/>
        <v>-2.1392666473292721E-3</v>
      </c>
      <c r="Q86">
        <f t="shared" si="23"/>
        <v>-0.12257095014506882</v>
      </c>
      <c r="R86">
        <f t="shared" si="24"/>
        <v>-2.1392699107592684E-3</v>
      </c>
      <c r="S86">
        <f t="shared" si="25"/>
        <v>-3.5410054599584108E-4</v>
      </c>
      <c r="T86">
        <f t="shared" si="26"/>
        <v>1.5711504273482924</v>
      </c>
      <c r="U86">
        <f t="shared" si="27"/>
        <v>90.020288467232817</v>
      </c>
      <c r="V86">
        <f t="shared" si="28"/>
        <v>6.0013525644821879</v>
      </c>
      <c r="X86">
        <f t="shared" si="29"/>
        <v>-2.3623661815595163E-4</v>
      </c>
      <c r="Y86">
        <f t="shared" si="30"/>
        <v>1.5710325634152498</v>
      </c>
      <c r="Z86">
        <f t="shared" si="31"/>
        <v>90.013535361312663</v>
      </c>
      <c r="AA86">
        <f t="shared" si="32"/>
        <v>6.000902357420844</v>
      </c>
      <c r="AB86">
        <f t="shared" si="33"/>
        <v>11.998195285158312</v>
      </c>
    </row>
    <row r="87" spans="10:28" x14ac:dyDescent="0.3">
      <c r="J87">
        <v>82</v>
      </c>
      <c r="K87">
        <f t="shared" si="17"/>
        <v>-0.39794863130761032</v>
      </c>
      <c r="L87">
        <f t="shared" si="18"/>
        <v>90.677618069815196</v>
      </c>
      <c r="M87">
        <f t="shared" si="19"/>
        <v>1.5826229931841804</v>
      </c>
      <c r="N87">
        <f t="shared" si="20"/>
        <v>-1.1826390691832589E-2</v>
      </c>
      <c r="O87">
        <f t="shared" si="21"/>
        <v>4.7062959891238411E-3</v>
      </c>
      <c r="P87">
        <f t="shared" si="22"/>
        <v>4.7063133627627349E-3</v>
      </c>
      <c r="Q87">
        <f t="shared" si="23"/>
        <v>0.26965189275232671</v>
      </c>
      <c r="R87">
        <f t="shared" si="24"/>
        <v>4.7063481103868593E-3</v>
      </c>
      <c r="S87">
        <f t="shared" si="25"/>
        <v>7.7901363785507622E-4</v>
      </c>
      <c r="T87">
        <f t="shared" si="26"/>
        <v>1.5700173130782491</v>
      </c>
      <c r="U87">
        <f t="shared" si="27"/>
        <v>89.95536580185329</v>
      </c>
      <c r="V87">
        <f t="shared" si="28"/>
        <v>5.9970243867902191</v>
      </c>
      <c r="X87">
        <f t="shared" si="29"/>
        <v>5.1971551409697595E-4</v>
      </c>
      <c r="Y87">
        <f t="shared" si="30"/>
        <v>1.5702766112574034</v>
      </c>
      <c r="Z87">
        <f t="shared" si="31"/>
        <v>89.970222493154267</v>
      </c>
      <c r="AA87">
        <f t="shared" si="32"/>
        <v>5.9980148328769509</v>
      </c>
      <c r="AB87">
        <f t="shared" si="33"/>
        <v>12.003970334246098</v>
      </c>
    </row>
    <row r="88" spans="10:28" x14ac:dyDescent="0.3">
      <c r="J88">
        <v>83</v>
      </c>
      <c r="K88">
        <f t="shared" si="17"/>
        <v>-0.39794863130761032</v>
      </c>
      <c r="L88">
        <f t="shared" si="18"/>
        <v>91.663244353182748</v>
      </c>
      <c r="M88">
        <f t="shared" si="19"/>
        <v>1.599825417023139</v>
      </c>
      <c r="N88">
        <f t="shared" si="20"/>
        <v>-2.9025013321975237E-2</v>
      </c>
      <c r="O88">
        <f t="shared" si="21"/>
        <v>1.1550464325165202E-2</v>
      </c>
      <c r="P88">
        <f t="shared" si="22"/>
        <v>1.1550721171370321E-2</v>
      </c>
      <c r="Q88">
        <f t="shared" si="23"/>
        <v>0.66180757345192587</v>
      </c>
      <c r="R88">
        <f t="shared" si="24"/>
        <v>1.1551234894623619E-2</v>
      </c>
      <c r="S88">
        <f t="shared" si="25"/>
        <v>1.9120067844364292E-3</v>
      </c>
      <c r="T88">
        <f t="shared" si="26"/>
        <v>1.568884318845482</v>
      </c>
      <c r="U88">
        <f t="shared" si="27"/>
        <v>89.890450014103081</v>
      </c>
      <c r="V88">
        <f t="shared" si="28"/>
        <v>5.9926966676068725</v>
      </c>
      <c r="X88">
        <f t="shared" si="29"/>
        <v>1.2755868968691245E-3</v>
      </c>
      <c r="Y88">
        <f t="shared" si="30"/>
        <v>1.5695207395521047</v>
      </c>
      <c r="Z88">
        <f t="shared" si="31"/>
        <v>89.926914234587301</v>
      </c>
      <c r="AA88">
        <f t="shared" si="32"/>
        <v>5.9951276156391531</v>
      </c>
      <c r="AB88">
        <f t="shared" si="33"/>
        <v>12.009744768721694</v>
      </c>
    </row>
    <row r="89" spans="10:28" x14ac:dyDescent="0.3">
      <c r="J89">
        <v>84</v>
      </c>
      <c r="K89">
        <f t="shared" si="17"/>
        <v>-0.39794863130761032</v>
      </c>
      <c r="L89">
        <f t="shared" si="18"/>
        <v>92.648870636550313</v>
      </c>
      <c r="M89">
        <f t="shared" si="19"/>
        <v>1.6170278408620975</v>
      </c>
      <c r="N89">
        <f t="shared" si="20"/>
        <v>-4.6215046983708354E-2</v>
      </c>
      <c r="O89">
        <f t="shared" si="21"/>
        <v>1.8391214692983646E-2</v>
      </c>
      <c r="P89">
        <f t="shared" si="22"/>
        <v>1.839225161501758E-2</v>
      </c>
      <c r="Q89">
        <f t="shared" si="23"/>
        <v>1.0537983932831796</v>
      </c>
      <c r="R89">
        <f t="shared" si="24"/>
        <v>1.8394325774817175E-2</v>
      </c>
      <c r="S89">
        <f t="shared" si="25"/>
        <v>3.0447026657689905E-3</v>
      </c>
      <c r="T89">
        <f t="shared" si="26"/>
        <v>1.5677516194249335</v>
      </c>
      <c r="U89">
        <f t="shared" si="27"/>
        <v>89.825551117848747</v>
      </c>
      <c r="V89">
        <f t="shared" si="28"/>
        <v>5.9883700745232495</v>
      </c>
      <c r="X89">
        <f t="shared" si="29"/>
        <v>2.0312599604410801E-3</v>
      </c>
      <c r="Y89">
        <f t="shared" si="30"/>
        <v>1.5687650654376173</v>
      </c>
      <c r="Z89">
        <f t="shared" si="31"/>
        <v>89.883617297139892</v>
      </c>
      <c r="AA89">
        <f t="shared" si="32"/>
        <v>5.9922411531426594</v>
      </c>
      <c r="AB89">
        <f t="shared" si="33"/>
        <v>12.015517693714681</v>
      </c>
    </row>
    <row r="90" spans="10:28" x14ac:dyDescent="0.3">
      <c r="J90">
        <v>85</v>
      </c>
      <c r="K90">
        <f t="shared" si="17"/>
        <v>-0.39794863130761032</v>
      </c>
      <c r="L90">
        <f t="shared" si="18"/>
        <v>93.634496919917865</v>
      </c>
      <c r="M90">
        <f t="shared" si="19"/>
        <v>1.634230264701056</v>
      </c>
      <c r="N90">
        <f t="shared" si="20"/>
        <v>-6.3391404869510379E-2</v>
      </c>
      <c r="O90">
        <f t="shared" si="21"/>
        <v>2.5226522804488241E-2</v>
      </c>
      <c r="P90">
        <f t="shared" si="22"/>
        <v>2.5229199169376902E-2</v>
      </c>
      <c r="Q90">
        <f t="shared" si="23"/>
        <v>1.4455266329002587</v>
      </c>
      <c r="R90">
        <f t="shared" si="24"/>
        <v>2.5234553432737363E-2</v>
      </c>
      <c r="S90">
        <f t="shared" si="25"/>
        <v>4.1769246150534225E-3</v>
      </c>
      <c r="T90">
        <f t="shared" si="26"/>
        <v>1.5666193900341565</v>
      </c>
      <c r="U90">
        <f t="shared" si="27"/>
        <v>89.760679152316555</v>
      </c>
      <c r="V90">
        <f t="shared" si="28"/>
        <v>5.9840452768211039</v>
      </c>
      <c r="X90">
        <f t="shared" si="29"/>
        <v>2.7866168423365265E-3</v>
      </c>
      <c r="Y90">
        <f t="shared" si="30"/>
        <v>1.5680097063460925</v>
      </c>
      <c r="Z90">
        <f t="shared" si="31"/>
        <v>89.840338409178685</v>
      </c>
      <c r="AA90">
        <f t="shared" si="32"/>
        <v>5.9893558939452456</v>
      </c>
      <c r="AB90">
        <f t="shared" si="33"/>
        <v>12.021288212109509</v>
      </c>
    </row>
    <row r="91" spans="10:28" x14ac:dyDescent="0.3">
      <c r="J91">
        <v>86</v>
      </c>
      <c r="K91">
        <f t="shared" si="17"/>
        <v>-0.39794863130761032</v>
      </c>
      <c r="L91">
        <f t="shared" si="18"/>
        <v>94.620123203285416</v>
      </c>
      <c r="M91">
        <f t="shared" si="19"/>
        <v>1.6514326885400143</v>
      </c>
      <c r="N91">
        <f t="shared" si="20"/>
        <v>-8.0549004218741671E-2</v>
      </c>
      <c r="O91">
        <f t="shared" si="21"/>
        <v>3.205436598203918E-2</v>
      </c>
      <c r="P91">
        <f t="shared" si="22"/>
        <v>3.205985773765873E-2</v>
      </c>
      <c r="Q91">
        <f t="shared" si="23"/>
        <v>1.8368945401576811</v>
      </c>
      <c r="R91">
        <f t="shared" si="24"/>
        <v>3.2070846331178834E-2</v>
      </c>
      <c r="S91">
        <f t="shared" si="25"/>
        <v>5.3084952671486737E-3</v>
      </c>
      <c r="T91">
        <f t="shared" si="26"/>
        <v>1.565487806595091</v>
      </c>
      <c r="U91">
        <f t="shared" si="27"/>
        <v>89.695844197091191</v>
      </c>
      <c r="V91">
        <f t="shared" si="28"/>
        <v>5.9797229464727462</v>
      </c>
      <c r="X91">
        <f t="shared" si="29"/>
        <v>3.5415392141835518E-3</v>
      </c>
      <c r="Y91">
        <f t="shared" si="30"/>
        <v>1.5672547801773786</v>
      </c>
      <c r="Z91">
        <f t="shared" si="31"/>
        <v>89.797084325867388</v>
      </c>
      <c r="AA91">
        <f t="shared" si="32"/>
        <v>5.986472288391159</v>
      </c>
      <c r="AB91">
        <f t="shared" si="33"/>
        <v>12.027055423217682</v>
      </c>
    </row>
    <row r="92" spans="10:28" x14ac:dyDescent="0.3">
      <c r="J92">
        <v>87</v>
      </c>
      <c r="K92">
        <f t="shared" si="17"/>
        <v>-0.39794863130761032</v>
      </c>
      <c r="L92">
        <f t="shared" si="18"/>
        <v>95.605749486652982</v>
      </c>
      <c r="M92">
        <f t="shared" si="19"/>
        <v>1.6686351123789731</v>
      </c>
      <c r="N92">
        <f t="shared" si="20"/>
        <v>-9.7682767821716199E-2</v>
      </c>
      <c r="O92">
        <f t="shared" si="21"/>
        <v>3.8872723756991044E-2</v>
      </c>
      <c r="P92">
        <f t="shared" si="22"/>
        <v>3.8882520442059774E-2</v>
      </c>
      <c r="Q92">
        <f t="shared" si="23"/>
        <v>2.2278043181611729</v>
      </c>
      <c r="R92">
        <f t="shared" si="24"/>
        <v>3.8902127150417382E-2</v>
      </c>
      <c r="S92">
        <f t="shared" si="25"/>
        <v>6.4392362997679527E-3</v>
      </c>
      <c r="T92">
        <f t="shared" si="26"/>
        <v>1.5643570459951357</v>
      </c>
      <c r="U92">
        <f t="shared" si="27"/>
        <v>89.631056387074082</v>
      </c>
      <c r="V92">
        <f t="shared" si="28"/>
        <v>5.9754037591382723</v>
      </c>
      <c r="X92">
        <f t="shared" si="29"/>
        <v>4.295908109054683E-3</v>
      </c>
      <c r="Y92">
        <f t="shared" si="30"/>
        <v>1.566500405472359</v>
      </c>
      <c r="Z92">
        <f t="shared" si="31"/>
        <v>89.753861839098334</v>
      </c>
      <c r="AA92">
        <f t="shared" si="32"/>
        <v>5.9835907892732223</v>
      </c>
      <c r="AB92">
        <f t="shared" si="33"/>
        <v>12.032818421453555</v>
      </c>
    </row>
    <row r="93" spans="10:28" x14ac:dyDescent="0.3">
      <c r="J93">
        <v>88</v>
      </c>
      <c r="K93">
        <f t="shared" si="17"/>
        <v>-0.39794863130761032</v>
      </c>
      <c r="L93">
        <f t="shared" si="18"/>
        <v>96.591375770020534</v>
      </c>
      <c r="M93">
        <f t="shared" si="19"/>
        <v>1.6858375362179314</v>
      </c>
      <c r="N93">
        <f t="shared" si="20"/>
        <v>-0.11478762552212723</v>
      </c>
      <c r="O93">
        <f t="shared" si="21"/>
        <v>4.5679578467581049E-2</v>
      </c>
      <c r="P93">
        <f t="shared" si="22"/>
        <v>4.5695479419409726E-2</v>
      </c>
      <c r="Q93">
        <f t="shared" si="23"/>
        <v>2.6181581135590908</v>
      </c>
      <c r="R93">
        <f t="shared" si="24"/>
        <v>4.5727311230661094E-2</v>
      </c>
      <c r="S93">
        <f t="shared" si="25"/>
        <v>7.5689681756669833E-3</v>
      </c>
      <c r="T93">
        <f t="shared" si="26"/>
        <v>1.5632272863472445</v>
      </c>
      <c r="U93">
        <f t="shared" si="27"/>
        <v>89.566325927385719</v>
      </c>
      <c r="V93">
        <f t="shared" si="28"/>
        <v>5.9710883951590477</v>
      </c>
      <c r="X93">
        <f t="shared" si="29"/>
        <v>5.0496037494689198E-3</v>
      </c>
      <c r="Y93">
        <f t="shared" si="30"/>
        <v>1.5657467015856295</v>
      </c>
      <c r="Z93">
        <f t="shared" si="31"/>
        <v>89.710677787386132</v>
      </c>
      <c r="AA93">
        <f t="shared" si="32"/>
        <v>5.9807118524924086</v>
      </c>
      <c r="AB93">
        <f t="shared" si="33"/>
        <v>12.038576295015183</v>
      </c>
    </row>
    <row r="94" spans="10:28" x14ac:dyDescent="0.3">
      <c r="J94">
        <v>89</v>
      </c>
      <c r="K94">
        <f t="shared" si="17"/>
        <v>-0.39794863130761032</v>
      </c>
      <c r="L94">
        <f t="shared" si="18"/>
        <v>97.577002053388085</v>
      </c>
      <c r="M94">
        <f t="shared" si="19"/>
        <v>1.70303996005689</v>
      </c>
      <c r="N94">
        <f t="shared" si="20"/>
        <v>-0.13185851571739118</v>
      </c>
      <c r="O94">
        <f t="shared" si="21"/>
        <v>5.2472915855988844E-2</v>
      </c>
      <c r="P94">
        <f t="shared" si="22"/>
        <v>5.2497025622166141E-2</v>
      </c>
      <c r="Q94">
        <f t="shared" si="23"/>
        <v>3.0078580051402644</v>
      </c>
      <c r="R94">
        <f t="shared" si="24"/>
        <v>5.2545305022207701E-2</v>
      </c>
      <c r="S94">
        <f t="shared" si="25"/>
        <v>8.6975098861078338E-3</v>
      </c>
      <c r="T94">
        <f t="shared" si="26"/>
        <v>1.5620987072487671</v>
      </c>
      <c r="U94">
        <f t="shared" si="27"/>
        <v>89.501663108196283</v>
      </c>
      <c r="V94">
        <f t="shared" si="28"/>
        <v>5.9667775405464187</v>
      </c>
      <c r="X94">
        <f t="shared" si="29"/>
        <v>5.8025053762447536E-3</v>
      </c>
      <c r="Y94">
        <f t="shared" si="30"/>
        <v>1.5649937888573331</v>
      </c>
      <c r="Z94">
        <f t="shared" si="31"/>
        <v>89.667539065713072</v>
      </c>
      <c r="AA94">
        <f t="shared" si="32"/>
        <v>5.9778359377142047</v>
      </c>
      <c r="AB94">
        <f t="shared" si="33"/>
        <v>12.044328124571591</v>
      </c>
    </row>
    <row r="95" spans="10:28" x14ac:dyDescent="0.3">
      <c r="J95">
        <v>90</v>
      </c>
      <c r="K95">
        <f t="shared" si="17"/>
        <v>-0.39794863130761032</v>
      </c>
      <c r="L95">
        <f t="shared" si="18"/>
        <v>98.562628336755651</v>
      </c>
      <c r="M95">
        <f t="shared" si="19"/>
        <v>1.7202423838958485</v>
      </c>
      <c r="N95">
        <f t="shared" si="20"/>
        <v>-0.14889038685645481</v>
      </c>
      <c r="O95">
        <f t="shared" si="21"/>
        <v>5.9250725664386807E-2</v>
      </c>
      <c r="P95">
        <f t="shared" si="22"/>
        <v>5.9285448625903799E-2</v>
      </c>
      <c r="Q95">
        <f t="shared" si="23"/>
        <v>3.3968059928039533</v>
      </c>
      <c r="R95">
        <f t="shared" si="24"/>
        <v>5.9355004545069139E-2</v>
      </c>
      <c r="S95">
        <f t="shared" si="25"/>
        <v>9.824678695889778E-3</v>
      </c>
      <c r="T95">
        <f t="shared" si="26"/>
        <v>1.5609714900387501</v>
      </c>
      <c r="U95">
        <f t="shared" si="27"/>
        <v>89.437078319467815</v>
      </c>
      <c r="V95">
        <f t="shared" si="28"/>
        <v>5.9624718879645213</v>
      </c>
      <c r="X95">
        <f t="shared" si="29"/>
        <v>6.5544910783986365E-3</v>
      </c>
      <c r="Y95">
        <f t="shared" si="30"/>
        <v>1.5642417887839561</v>
      </c>
      <c r="Z95">
        <f t="shared" si="31"/>
        <v>89.624452635315038</v>
      </c>
      <c r="AA95">
        <f t="shared" si="32"/>
        <v>5.9749635090210029</v>
      </c>
      <c r="AB95">
        <f t="shared" si="33"/>
        <v>12.050072981957994</v>
      </c>
    </row>
    <row r="96" spans="10:28" x14ac:dyDescent="0.3">
      <c r="J96">
        <v>91</v>
      </c>
      <c r="K96">
        <f t="shared" si="17"/>
        <v>-0.39794863130761032</v>
      </c>
      <c r="L96">
        <f t="shared" si="18"/>
        <v>99.548254620123203</v>
      </c>
      <c r="M96">
        <f t="shared" si="19"/>
        <v>1.737444807734807</v>
      </c>
      <c r="N96">
        <f t="shared" si="20"/>
        <v>-0.16587819893463165</v>
      </c>
      <c r="O96">
        <f t="shared" si="21"/>
        <v>6.6011002229808172E-2</v>
      </c>
      <c r="P96">
        <f t="shared" si="22"/>
        <v>6.6059036444459152E-2</v>
      </c>
      <c r="Q96">
        <f t="shared" si="23"/>
        <v>3.7849039869684016</v>
      </c>
      <c r="R96">
        <f t="shared" si="24"/>
        <v>6.6155293859903014E-2</v>
      </c>
      <c r="S96">
        <f t="shared" si="25"/>
        <v>1.0950289890251746E-2</v>
      </c>
      <c r="T96">
        <f t="shared" si="26"/>
        <v>1.5598458180533934</v>
      </c>
      <c r="U96">
        <f t="shared" si="27"/>
        <v>89.372582065590748</v>
      </c>
      <c r="V96">
        <f t="shared" si="28"/>
        <v>5.9581721377060495</v>
      </c>
      <c r="X96">
        <f t="shared" si="29"/>
        <v>7.3054376242920613E-3</v>
      </c>
      <c r="Y96">
        <f t="shared" si="30"/>
        <v>1.5634908241878838</v>
      </c>
      <c r="Z96">
        <f t="shared" si="31"/>
        <v>89.581425533396356</v>
      </c>
      <c r="AA96">
        <f t="shared" si="32"/>
        <v>5.9720950355597573</v>
      </c>
      <c r="AB96">
        <f t="shared" si="33"/>
        <v>12.055809928880485</v>
      </c>
    </row>
    <row r="97" spans="10:28" x14ac:dyDescent="0.3">
      <c r="J97">
        <v>92</v>
      </c>
      <c r="K97">
        <f t="shared" si="17"/>
        <v>-0.39794863130761032</v>
      </c>
      <c r="L97">
        <f t="shared" si="18"/>
        <v>100.53388090349075</v>
      </c>
      <c r="M97">
        <f t="shared" si="19"/>
        <v>1.7546472315737651</v>
      </c>
      <c r="N97">
        <f t="shared" si="20"/>
        <v>-0.18281692498501967</v>
      </c>
      <c r="O97">
        <f t="shared" si="21"/>
        <v>7.2751745077654639E-2</v>
      </c>
      <c r="P97">
        <f t="shared" si="22"/>
        <v>7.2816075353890439E-2</v>
      </c>
      <c r="Q97">
        <f t="shared" si="23"/>
        <v>4.1720537984844945</v>
      </c>
      <c r="R97">
        <f t="shared" si="24"/>
        <v>7.2945043552165953E-2</v>
      </c>
      <c r="S97">
        <f t="shared" si="25"/>
        <v>1.2074156523963283E-2</v>
      </c>
      <c r="T97">
        <f t="shared" si="26"/>
        <v>1.5587218768793525</v>
      </c>
      <c r="U97">
        <f t="shared" si="27"/>
        <v>89.308184979897234</v>
      </c>
      <c r="V97">
        <f t="shared" si="28"/>
        <v>5.9538789986598157</v>
      </c>
      <c r="X97">
        <f t="shared" si="29"/>
        <v>8.0552202942387081E-3</v>
      </c>
      <c r="Y97">
        <f t="shared" si="30"/>
        <v>1.5627410193855062</v>
      </c>
      <c r="Z97">
        <f t="shared" si="31"/>
        <v>89.538464882761488</v>
      </c>
      <c r="AA97">
        <f t="shared" si="32"/>
        <v>5.9692309921840989</v>
      </c>
      <c r="AB97">
        <f t="shared" si="33"/>
        <v>12.061538015631802</v>
      </c>
    </row>
    <row r="98" spans="10:28" x14ac:dyDescent="0.3">
      <c r="J98">
        <v>93</v>
      </c>
      <c r="K98">
        <f t="shared" si="17"/>
        <v>-0.39794863130761032</v>
      </c>
      <c r="L98">
        <f t="shared" si="18"/>
        <v>101.51950718685832</v>
      </c>
      <c r="M98">
        <f t="shared" si="19"/>
        <v>1.7718496554127241</v>
      </c>
      <c r="N98">
        <f t="shared" si="20"/>
        <v>-0.19970155256606403</v>
      </c>
      <c r="O98">
        <f t="shared" si="21"/>
        <v>7.9470959513669975E-2</v>
      </c>
      <c r="P98">
        <f t="shared" si="22"/>
        <v>7.9554849726426652E-2</v>
      </c>
      <c r="Q98">
        <f t="shared" si="23"/>
        <v>4.5581571291217395</v>
      </c>
      <c r="R98">
        <f t="shared" si="24"/>
        <v>7.9723109231502456E-2</v>
      </c>
      <c r="S98">
        <f t="shared" si="25"/>
        <v>1.3196089172937381E-2</v>
      </c>
      <c r="T98">
        <f t="shared" si="26"/>
        <v>1.5575998546045549</v>
      </c>
      <c r="U98">
        <f t="shared" si="27"/>
        <v>89.243897839031661</v>
      </c>
      <c r="V98">
        <f t="shared" si="28"/>
        <v>5.9495931892687777</v>
      </c>
      <c r="X98">
        <f t="shared" si="29"/>
        <v>8.803712714794033E-3</v>
      </c>
      <c r="Y98">
        <f t="shared" si="30"/>
        <v>1.5619925003536523</v>
      </c>
      <c r="Z98">
        <f t="shared" si="31"/>
        <v>89.495577901351027</v>
      </c>
      <c r="AA98">
        <f t="shared" si="32"/>
        <v>5.9663718600900681</v>
      </c>
      <c r="AB98">
        <f t="shared" si="33"/>
        <v>12.067256279819864</v>
      </c>
    </row>
    <row r="99" spans="10:28" x14ac:dyDescent="0.3">
      <c r="J99">
        <v>94</v>
      </c>
      <c r="K99">
        <f t="shared" si="17"/>
        <v>-0.39794863130761032</v>
      </c>
      <c r="L99">
        <f t="shared" si="18"/>
        <v>102.50513347022587</v>
      </c>
      <c r="M99">
        <f t="shared" si="19"/>
        <v>1.7890520792516822</v>
      </c>
      <c r="N99">
        <f t="shared" si="20"/>
        <v>-0.21652708524481418</v>
      </c>
      <c r="O99">
        <f t="shared" si="21"/>
        <v>8.6166657214200068E-2</v>
      </c>
      <c r="P99">
        <f t="shared" si="22"/>
        <v>8.6273641875578996E-2</v>
      </c>
      <c r="Q99">
        <f t="shared" si="23"/>
        <v>4.9431155626938006</v>
      </c>
      <c r="R99">
        <f t="shared" si="24"/>
        <v>8.6488330048480264E-2</v>
      </c>
      <c r="S99">
        <f t="shared" si="25"/>
        <v>1.4315895688714551E-2</v>
      </c>
      <c r="T99">
        <f t="shared" si="26"/>
        <v>1.5564799420661835</v>
      </c>
      <c r="U99">
        <f t="shared" si="27"/>
        <v>89.179731577159203</v>
      </c>
      <c r="V99">
        <f t="shared" si="28"/>
        <v>5.9453154384772802</v>
      </c>
      <c r="X99">
        <f t="shared" si="29"/>
        <v>9.5507866949604038E-3</v>
      </c>
      <c r="Y99">
        <f t="shared" si="30"/>
        <v>1.5612453948941194</v>
      </c>
      <c r="Z99">
        <f t="shared" si="31"/>
        <v>89.452771911668606</v>
      </c>
      <c r="AA99">
        <f t="shared" si="32"/>
        <v>5.9635181274445737</v>
      </c>
      <c r="AB99">
        <f t="shared" si="33"/>
        <v>12.072963745110853</v>
      </c>
    </row>
    <row r="100" spans="10:28" x14ac:dyDescent="0.3">
      <c r="J100">
        <v>95</v>
      </c>
      <c r="K100">
        <f t="shared" si="17"/>
        <v>-0.39794863130761032</v>
      </c>
      <c r="L100">
        <f t="shared" si="18"/>
        <v>103.49075975359342</v>
      </c>
      <c r="M100">
        <f t="shared" si="19"/>
        <v>1.8062545030906407</v>
      </c>
      <c r="N100">
        <f t="shared" si="20"/>
        <v>-0.23328854407545499</v>
      </c>
      <c r="O100">
        <f t="shared" si="21"/>
        <v>9.2836856814572433E-2</v>
      </c>
      <c r="P100">
        <f t="shared" si="22"/>
        <v>9.297073191360937E-2</v>
      </c>
      <c r="Q100">
        <f t="shared" si="23"/>
        <v>5.3268305568920482</v>
      </c>
      <c r="R100">
        <f t="shared" si="24"/>
        <v>9.3239527230911445E-2</v>
      </c>
      <c r="S100">
        <f t="shared" si="25"/>
        <v>1.5433380956188814E-2</v>
      </c>
      <c r="T100">
        <f t="shared" si="26"/>
        <v>1.5553623330954618</v>
      </c>
      <c r="U100">
        <f t="shared" si="27"/>
        <v>89.115697299990885</v>
      </c>
      <c r="V100">
        <f t="shared" si="28"/>
        <v>5.9410464866660586</v>
      </c>
      <c r="X100">
        <f t="shared" si="29"/>
        <v>1.0296312064555059E-2</v>
      </c>
      <c r="Y100">
        <f t="shared" si="30"/>
        <v>1.5604998327960518</v>
      </c>
      <c r="Z100">
        <f t="shared" si="31"/>
        <v>89.410054350084422</v>
      </c>
      <c r="AA100">
        <f t="shared" si="32"/>
        <v>5.9606702900056279</v>
      </c>
      <c r="AB100">
        <f t="shared" si="33"/>
        <v>12.078659419988744</v>
      </c>
    </row>
    <row r="101" spans="10:28" x14ac:dyDescent="0.3">
      <c r="J101">
        <v>96</v>
      </c>
      <c r="K101">
        <f t="shared" si="17"/>
        <v>-0.39794863130761032</v>
      </c>
      <c r="L101">
        <f t="shared" si="18"/>
        <v>104.47638603696099</v>
      </c>
      <c r="M101">
        <f t="shared" si="19"/>
        <v>1.8234569269295993</v>
      </c>
      <c r="N101">
        <f t="shared" si="20"/>
        <v>-0.2499809690726521</v>
      </c>
      <c r="O101">
        <f t="shared" si="21"/>
        <v>9.9479584495411971E-2</v>
      </c>
      <c r="P101">
        <f t="shared" si="22"/>
        <v>9.9644397622542236E-2</v>
      </c>
      <c r="Q101">
        <f t="shared" si="23"/>
        <v>5.7092034358950841</v>
      </c>
      <c r="R101">
        <f t="shared" si="24"/>
        <v>9.9975502642107222E-2</v>
      </c>
      <c r="S101">
        <f t="shared" si="25"/>
        <v>1.6548346654964255E-2</v>
      </c>
      <c r="T101">
        <f t="shared" si="26"/>
        <v>1.554247224758851</v>
      </c>
      <c r="U101">
        <f t="shared" si="27"/>
        <v>89.051806298603225</v>
      </c>
      <c r="V101">
        <f t="shared" si="28"/>
        <v>5.9367870865735481</v>
      </c>
      <c r="X101">
        <f t="shared" si="29"/>
        <v>1.1040156515000192E-2</v>
      </c>
      <c r="Y101">
        <f t="shared" si="30"/>
        <v>1.5597559459959123</v>
      </c>
      <c r="Z101">
        <f t="shared" si="31"/>
        <v>89.367432776000939</v>
      </c>
      <c r="AA101">
        <f t="shared" si="32"/>
        <v>5.9578288517333959</v>
      </c>
      <c r="AB101">
        <f t="shared" si="33"/>
        <v>12.084342296533208</v>
      </c>
    </row>
    <row r="102" spans="10:28" x14ac:dyDescent="0.3">
      <c r="J102">
        <v>97</v>
      </c>
      <c r="K102">
        <f t="shared" si="17"/>
        <v>-0.39794863130761032</v>
      </c>
      <c r="L102">
        <f t="shared" si="18"/>
        <v>105.46201232032854</v>
      </c>
      <c r="M102">
        <f t="shared" si="19"/>
        <v>1.8406593507685578</v>
      </c>
      <c r="N102">
        <f t="shared" si="20"/>
        <v>-0.26659942067929354</v>
      </c>
      <c r="O102">
        <f t="shared" si="21"/>
        <v>0.10609287456672668</v>
      </c>
      <c r="P102">
        <f t="shared" si="22"/>
        <v>0.10629291433993102</v>
      </c>
      <c r="Q102">
        <f t="shared" si="23"/>
        <v>6.0901353838236334</v>
      </c>
      <c r="R102">
        <f t="shared" si="24"/>
        <v>0.10669503736356721</v>
      </c>
      <c r="S102">
        <f t="shared" si="25"/>
        <v>1.7660591024756051E-2</v>
      </c>
      <c r="T102">
        <f t="shared" si="26"/>
        <v>1.5531348175952502</v>
      </c>
      <c r="U102">
        <f t="shared" si="27"/>
        <v>88.988070063028786</v>
      </c>
      <c r="V102">
        <f t="shared" si="28"/>
        <v>5.9325380042019189</v>
      </c>
      <c r="X102">
        <f t="shared" si="29"/>
        <v>1.1782185442811271E-2</v>
      </c>
      <c r="Y102">
        <f t="shared" si="30"/>
        <v>1.5590138687347661</v>
      </c>
      <c r="Z102">
        <f t="shared" si="31"/>
        <v>89.324914880864625</v>
      </c>
      <c r="AA102">
        <f t="shared" si="32"/>
        <v>5.9549943253909747</v>
      </c>
      <c r="AB102">
        <f t="shared" si="33"/>
        <v>12.090011349218051</v>
      </c>
    </row>
    <row r="103" spans="10:28" x14ac:dyDescent="0.3">
      <c r="J103">
        <v>98</v>
      </c>
      <c r="K103">
        <f t="shared" si="17"/>
        <v>-0.39794863130761032</v>
      </c>
      <c r="L103">
        <f t="shared" si="18"/>
        <v>106.44763860369609</v>
      </c>
      <c r="M103">
        <f t="shared" si="19"/>
        <v>1.8578617746075161</v>
      </c>
      <c r="N103">
        <f t="shared" si="20"/>
        <v>-0.28313898122818354</v>
      </c>
      <c r="O103">
        <f t="shared" si="21"/>
        <v>0.11267477004958681</v>
      </c>
      <c r="P103">
        <f t="shared" si="22"/>
        <v>0.11291455486058818</v>
      </c>
      <c r="Q103">
        <f t="shared" si="23"/>
        <v>6.4695274391100988</v>
      </c>
      <c r="R103">
        <f t="shared" si="24"/>
        <v>0.11339689030473768</v>
      </c>
      <c r="S103">
        <f t="shared" si="25"/>
        <v>1.8769908635272076E-2</v>
      </c>
      <c r="T103">
        <f t="shared" si="26"/>
        <v>1.5520253158487616</v>
      </c>
      <c r="U103">
        <f t="shared" si="27"/>
        <v>88.924500295592594</v>
      </c>
      <c r="V103">
        <f t="shared" si="28"/>
        <v>5.9283000197061728</v>
      </c>
      <c r="X103">
        <f t="shared" si="29"/>
        <v>1.2522261796074574E-2</v>
      </c>
      <c r="Y103">
        <f t="shared" si="30"/>
        <v>1.5582737377125917</v>
      </c>
      <c r="Z103">
        <f t="shared" si="31"/>
        <v>89.282508497007342</v>
      </c>
      <c r="AA103">
        <f t="shared" si="32"/>
        <v>5.9521672331338227</v>
      </c>
      <c r="AB103">
        <f t="shared" si="33"/>
        <v>12.095665533732355</v>
      </c>
    </row>
    <row r="104" spans="10:28" x14ac:dyDescent="0.3">
      <c r="J104">
        <v>99</v>
      </c>
      <c r="K104">
        <f t="shared" si="17"/>
        <v>-0.39794863130761032</v>
      </c>
      <c r="L104">
        <f t="shared" si="18"/>
        <v>107.43326488706366</v>
      </c>
      <c r="M104">
        <f t="shared" si="19"/>
        <v>1.8750641984464747</v>
      </c>
      <c r="N104">
        <f t="shared" si="20"/>
        <v>-0.29959475639726019</v>
      </c>
      <c r="O104">
        <f t="shared" si="21"/>
        <v>0.11922332325522662</v>
      </c>
      <c r="P104">
        <f t="shared" si="22"/>
        <v>0.11950758935550132</v>
      </c>
      <c r="Q104">
        <f t="shared" si="23"/>
        <v>6.8472804898527881</v>
      </c>
      <c r="R104">
        <f t="shared" si="24"/>
        <v>0.12007979684263292</v>
      </c>
      <c r="S104">
        <f t="shared" si="25"/>
        <v>1.9876090161037561E-2</v>
      </c>
      <c r="T104">
        <f t="shared" si="26"/>
        <v>1.5509189276965623</v>
      </c>
      <c r="U104">
        <f t="shared" si="27"/>
        <v>88.861108923968288</v>
      </c>
      <c r="V104">
        <f t="shared" si="28"/>
        <v>5.9240739282645523</v>
      </c>
      <c r="X104">
        <f t="shared" si="29"/>
        <v>1.3260245924222454E-2</v>
      </c>
      <c r="Y104">
        <f t="shared" si="30"/>
        <v>1.5575356922393062</v>
      </c>
      <c r="Z104">
        <f t="shared" si="31"/>
        <v>89.240221606299343</v>
      </c>
      <c r="AA104">
        <f t="shared" si="32"/>
        <v>5.9493481070866228</v>
      </c>
      <c r="AB104">
        <f t="shared" si="33"/>
        <v>12.101303785826754</v>
      </c>
    </row>
    <row r="105" spans="10:28" x14ac:dyDescent="0.3">
      <c r="J105">
        <v>100</v>
      </c>
      <c r="K105">
        <f t="shared" si="17"/>
        <v>-0.39794863130761032</v>
      </c>
      <c r="L105">
        <f t="shared" si="18"/>
        <v>108.41889117043121</v>
      </c>
      <c r="M105">
        <f t="shared" si="19"/>
        <v>1.8922666222854332</v>
      </c>
      <c r="N105">
        <f t="shared" si="20"/>
        <v>-0.31596187665790271</v>
      </c>
      <c r="O105">
        <f t="shared" si="21"/>
        <v>0.12573659636139636</v>
      </c>
      <c r="P105">
        <f t="shared" si="22"/>
        <v>0.12607028530916342</v>
      </c>
      <c r="Q105">
        <f t="shared" si="23"/>
        <v>7.2232952702252096</v>
      </c>
      <c r="R105">
        <f t="shared" si="24"/>
        <v>0.1267424674942734</v>
      </c>
      <c r="S105">
        <f t="shared" si="25"/>
        <v>2.0978922161651738E-2</v>
      </c>
      <c r="T105">
        <f t="shared" si="26"/>
        <v>1.5498158654713916</v>
      </c>
      <c r="U105">
        <f t="shared" si="27"/>
        <v>88.797908113925715</v>
      </c>
      <c r="V105">
        <f t="shared" si="28"/>
        <v>5.9198605409283811</v>
      </c>
      <c r="X105">
        <f t="shared" si="29"/>
        <v>1.3995995431432521E-2</v>
      </c>
      <c r="Y105">
        <f t="shared" si="30"/>
        <v>1.5567998743821823</v>
      </c>
      <c r="Z105">
        <f t="shared" si="31"/>
        <v>89.198062348595784</v>
      </c>
      <c r="AA105">
        <f t="shared" si="32"/>
        <v>5.9465374899063859</v>
      </c>
      <c r="AB105">
        <f t="shared" si="33"/>
        <v>12.106925020187228</v>
      </c>
    </row>
    <row r="106" spans="10:28" x14ac:dyDescent="0.3">
      <c r="J106">
        <v>101</v>
      </c>
      <c r="K106">
        <f t="shared" si="17"/>
        <v>-0.39794863130761032</v>
      </c>
      <c r="L106">
        <f t="shared" si="18"/>
        <v>109.40451745379877</v>
      </c>
      <c r="M106">
        <f t="shared" si="19"/>
        <v>1.9094690461243917</v>
      </c>
      <c r="N106">
        <f t="shared" si="20"/>
        <v>-0.33223549871590435</v>
      </c>
      <c r="O106">
        <f t="shared" si="21"/>
        <v>0.13221266198579545</v>
      </c>
      <c r="P106">
        <f t="shared" si="22"/>
        <v>0.13260090747655465</v>
      </c>
      <c r="Q106">
        <f t="shared" si="23"/>
        <v>7.5974723580113048</v>
      </c>
      <c r="R106">
        <f t="shared" si="24"/>
        <v>0.13338358662506583</v>
      </c>
      <c r="S106">
        <f t="shared" si="25"/>
        <v>2.2078186867993722E-2</v>
      </c>
      <c r="T106">
        <f t="shared" si="26"/>
        <v>1.5487163458781354</v>
      </c>
      <c r="U106">
        <f t="shared" si="27"/>
        <v>88.734910281740198</v>
      </c>
      <c r="V106">
        <f t="shared" si="28"/>
        <v>5.915660685449347</v>
      </c>
      <c r="X106">
        <f t="shared" si="29"/>
        <v>1.4729365033995842E-2</v>
      </c>
      <c r="Y106">
        <f t="shared" si="30"/>
        <v>1.5560664291093094</v>
      </c>
      <c r="Z106">
        <f t="shared" si="31"/>
        <v>89.156039029956347</v>
      </c>
      <c r="AA106">
        <f t="shared" si="32"/>
        <v>5.9437359353304231</v>
      </c>
      <c r="AB106">
        <f t="shared" si="33"/>
        <v>12.112528129339154</v>
      </c>
    </row>
    <row r="107" spans="10:28" x14ac:dyDescent="0.3">
      <c r="J107">
        <v>102</v>
      </c>
      <c r="K107">
        <f t="shared" si="17"/>
        <v>-0.39794863130761032</v>
      </c>
      <c r="L107">
        <f t="shared" si="18"/>
        <v>110.39014373716633</v>
      </c>
      <c r="M107">
        <f t="shared" si="19"/>
        <v>1.9266714699633503</v>
      </c>
      <c r="N107">
        <f t="shared" si="20"/>
        <v>-0.3484108069446808</v>
      </c>
      <c r="O107">
        <f t="shared" si="21"/>
        <v>0.13864960375641577</v>
      </c>
      <c r="P107">
        <f t="shared" si="22"/>
        <v>0.13909771786101749</v>
      </c>
      <c r="Q107">
        <f t="shared" si="23"/>
        <v>7.9697121733377907</v>
      </c>
      <c r="R107">
        <f t="shared" si="24"/>
        <v>0.14000181119642394</v>
      </c>
      <c r="S107">
        <f t="shared" si="25"/>
        <v>2.3173661974923654E-2</v>
      </c>
      <c r="T107">
        <f t="shared" si="26"/>
        <v>1.5476205902039644</v>
      </c>
      <c r="U107">
        <f t="shared" si="27"/>
        <v>88.672128106232663</v>
      </c>
      <c r="V107">
        <f t="shared" si="28"/>
        <v>5.9114752070821774</v>
      </c>
      <c r="X107">
        <f t="shared" si="29"/>
        <v>1.546020642201843E-2</v>
      </c>
      <c r="Y107">
        <f t="shared" si="30"/>
        <v>1.5553355044287345</v>
      </c>
      <c r="Z107">
        <f t="shared" si="31"/>
        <v>89.114160130617435</v>
      </c>
      <c r="AA107">
        <f t="shared" si="32"/>
        <v>5.9409440087078291</v>
      </c>
      <c r="AB107">
        <f t="shared" si="33"/>
        <v>12.118111982584342</v>
      </c>
    </row>
    <row r="108" spans="10:28" x14ac:dyDescent="0.3">
      <c r="J108">
        <v>103</v>
      </c>
      <c r="K108">
        <f t="shared" si="17"/>
        <v>-0.39794863130761032</v>
      </c>
      <c r="L108">
        <f t="shared" si="18"/>
        <v>111.37577002053388</v>
      </c>
      <c r="M108">
        <f t="shared" si="19"/>
        <v>1.9438738938023086</v>
      </c>
      <c r="N108">
        <f t="shared" si="20"/>
        <v>-0.36448301481029122</v>
      </c>
      <c r="O108">
        <f t="shared" si="21"/>
        <v>0.14504551687862685</v>
      </c>
      <c r="P108">
        <f t="shared" si="22"/>
        <v>0.14555897571427193</v>
      </c>
      <c r="Q108">
        <f t="shared" si="23"/>
        <v>8.3399149786750293</v>
      </c>
      <c r="R108">
        <f t="shared" si="24"/>
        <v>0.14659576955610976</v>
      </c>
      <c r="S108">
        <f t="shared" si="25"/>
        <v>2.4265120441055159E-2</v>
      </c>
      <c r="T108">
        <f t="shared" si="26"/>
        <v>1.5465288245214424</v>
      </c>
      <c r="U108">
        <f t="shared" si="27"/>
        <v>88.609574540406953</v>
      </c>
      <c r="V108">
        <f t="shared" si="28"/>
        <v>5.9073049693604638</v>
      </c>
      <c r="X108">
        <f t="shared" si="29"/>
        <v>1.6188368125840309E-2</v>
      </c>
      <c r="Y108">
        <f t="shared" si="30"/>
        <v>1.5546072515228992</v>
      </c>
      <c r="Z108">
        <f t="shared" si="31"/>
        <v>89.072434312694938</v>
      </c>
      <c r="AA108">
        <f t="shared" si="32"/>
        <v>5.9381622875129958</v>
      </c>
      <c r="AB108">
        <f t="shared" si="33"/>
        <v>12.123675424974008</v>
      </c>
    </row>
    <row r="109" spans="10:28" x14ac:dyDescent="0.3">
      <c r="J109">
        <v>104</v>
      </c>
      <c r="K109">
        <f t="shared" si="17"/>
        <v>-0.39794863130761032</v>
      </c>
      <c r="L109">
        <f t="shared" si="18"/>
        <v>112.36139630390144</v>
      </c>
      <c r="M109">
        <f t="shared" si="19"/>
        <v>1.9610763176412673</v>
      </c>
      <c r="N109">
        <f t="shared" si="20"/>
        <v>-0.38044736628785186</v>
      </c>
      <c r="O109">
        <f t="shared" si="21"/>
        <v>0.15139850869883573</v>
      </c>
      <c r="P109">
        <f t="shared" si="22"/>
        <v>0.15198293755982298</v>
      </c>
      <c r="Q109">
        <f t="shared" si="23"/>
        <v>8.7079808801781748</v>
      </c>
      <c r="R109">
        <f t="shared" si="24"/>
        <v>0.15316406027496185</v>
      </c>
      <c r="S109">
        <f t="shared" si="25"/>
        <v>2.5352330296205906E-2</v>
      </c>
      <c r="T109">
        <f t="shared" si="26"/>
        <v>1.545441279884</v>
      </c>
      <c r="U109">
        <f t="shared" si="27"/>
        <v>88.547262822649415</v>
      </c>
      <c r="V109">
        <f t="shared" si="28"/>
        <v>5.903150854843294</v>
      </c>
      <c r="X109">
        <f t="shared" si="29"/>
        <v>1.6913695387577012E-2</v>
      </c>
      <c r="Y109">
        <f t="shared" si="30"/>
        <v>1.5538818248779664</v>
      </c>
      <c r="Z109">
        <f t="shared" si="31"/>
        <v>89.030870427593968</v>
      </c>
      <c r="AA109">
        <f t="shared" si="32"/>
        <v>5.9353913618395975</v>
      </c>
      <c r="AB109">
        <f t="shared" si="33"/>
        <v>12.129217276320805</v>
      </c>
    </row>
    <row r="110" spans="10:28" x14ac:dyDescent="0.3">
      <c r="J110">
        <v>105</v>
      </c>
      <c r="K110">
        <f t="shared" si="17"/>
        <v>-0.39794863130761032</v>
      </c>
      <c r="L110">
        <f t="shared" si="18"/>
        <v>113.347022587269</v>
      </c>
      <c r="M110">
        <f t="shared" si="19"/>
        <v>1.9782787414802256</v>
      </c>
      <c r="N110">
        <f t="shared" si="20"/>
        <v>-0.39629913726891797</v>
      </c>
      <c r="O110">
        <f t="shared" si="21"/>
        <v>0.15770669926455269</v>
      </c>
      <c r="P110">
        <f t="shared" si="22"/>
        <v>0.15836785724101038</v>
      </c>
      <c r="Q110">
        <f t="shared" si="23"/>
        <v>9.0738098304402275</v>
      </c>
      <c r="R110">
        <f t="shared" si="24"/>
        <v>0.15970525103386107</v>
      </c>
      <c r="S110">
        <f t="shared" si="25"/>
        <v>2.643505445716374E-2</v>
      </c>
      <c r="T110">
        <f t="shared" si="26"/>
        <v>1.5443581925131313</v>
      </c>
      <c r="U110">
        <f t="shared" si="27"/>
        <v>88.485206487454718</v>
      </c>
      <c r="V110">
        <f t="shared" si="28"/>
        <v>5.8990137658303148</v>
      </c>
      <c r="X110">
        <f t="shared" si="29"/>
        <v>1.7636030038208763E-2</v>
      </c>
      <c r="Y110">
        <f t="shared" si="30"/>
        <v>1.5531593824076093</v>
      </c>
      <c r="Z110">
        <f t="shared" si="31"/>
        <v>88.989477523101485</v>
      </c>
      <c r="AA110">
        <f t="shared" si="32"/>
        <v>5.9326318348734324</v>
      </c>
      <c r="AB110">
        <f t="shared" si="33"/>
        <v>12.134736330253135</v>
      </c>
    </row>
    <row r="111" spans="10:28" x14ac:dyDescent="0.3">
      <c r="J111">
        <v>106</v>
      </c>
      <c r="K111">
        <f t="shared" si="17"/>
        <v>-0.39794863130761032</v>
      </c>
      <c r="L111">
        <f t="shared" si="18"/>
        <v>114.33264887063655</v>
      </c>
      <c r="M111">
        <f t="shared" si="19"/>
        <v>1.9954811653191842</v>
      </c>
      <c r="N111">
        <f t="shared" si="20"/>
        <v>-0.41203363695942635</v>
      </c>
      <c r="O111">
        <f t="shared" si="21"/>
        <v>0.16396822188070051</v>
      </c>
      <c r="P111">
        <f t="shared" si="22"/>
        <v>0.16471198599495507</v>
      </c>
      <c r="Q111">
        <f t="shared" si="23"/>
        <v>9.4373016327288504</v>
      </c>
      <c r="R111">
        <f t="shared" si="24"/>
        <v>0.16621787756497886</v>
      </c>
      <c r="S111">
        <f t="shared" si="25"/>
        <v>2.7513050552437811E-2</v>
      </c>
      <c r="T111">
        <f t="shared" si="26"/>
        <v>1.5432798039766358</v>
      </c>
      <c r="U111">
        <f t="shared" si="27"/>
        <v>88.423419375638233</v>
      </c>
      <c r="V111">
        <f t="shared" si="28"/>
        <v>5.8948946250425491</v>
      </c>
      <c r="X111">
        <f t="shared" si="29"/>
        <v>1.835521038066398E-2</v>
      </c>
      <c r="Y111">
        <f t="shared" si="30"/>
        <v>1.5524400855708165</v>
      </c>
      <c r="Z111">
        <f t="shared" si="31"/>
        <v>88.948264850136155</v>
      </c>
      <c r="AA111">
        <f t="shared" si="32"/>
        <v>5.9298843233424101</v>
      </c>
      <c r="AB111">
        <f t="shared" si="33"/>
        <v>12.14023135331518</v>
      </c>
    </row>
    <row r="112" spans="10:28" x14ac:dyDescent="0.3">
      <c r="J112">
        <v>107</v>
      </c>
      <c r="K112">
        <f t="shared" si="17"/>
        <v>-0.39794863130761032</v>
      </c>
      <c r="L112">
        <f t="shared" si="18"/>
        <v>115.31827515400411</v>
      </c>
      <c r="M112">
        <f t="shared" si="19"/>
        <v>2.0126835891581427</v>
      </c>
      <c r="N112">
        <f t="shared" si="20"/>
        <v>-0.42764620926777464</v>
      </c>
      <c r="O112">
        <f t="shared" si="21"/>
        <v>0.17018122366199881</v>
      </c>
      <c r="P112">
        <f t="shared" si="22"/>
        <v>0.17101357255364796</v>
      </c>
      <c r="Q112">
        <f t="shared" si="23"/>
        <v>9.7983559467783206</v>
      </c>
      <c r="R112">
        <f t="shared" si="24"/>
        <v>0.17270044265153617</v>
      </c>
      <c r="S112">
        <f t="shared" si="25"/>
        <v>2.8586070756694698E-2</v>
      </c>
      <c r="T112">
        <f t="shared" si="26"/>
        <v>1.542206361357207</v>
      </c>
      <c r="U112">
        <f t="shared" si="27"/>
        <v>88.361915643995488</v>
      </c>
      <c r="V112">
        <f t="shared" si="28"/>
        <v>5.8907943762663662</v>
      </c>
      <c r="X112">
        <f t="shared" si="29"/>
        <v>1.9071071079364038E-2</v>
      </c>
      <c r="Y112">
        <f t="shared" si="30"/>
        <v>1.5517240994832431</v>
      </c>
      <c r="Z112">
        <f t="shared" si="31"/>
        <v>88.907241869128114</v>
      </c>
      <c r="AA112">
        <f t="shared" si="32"/>
        <v>5.9271494579418746</v>
      </c>
      <c r="AB112">
        <f t="shared" si="33"/>
        <v>12.145701084116251</v>
      </c>
    </row>
    <row r="113" spans="10:28" x14ac:dyDescent="0.3">
      <c r="J113">
        <v>108</v>
      </c>
      <c r="K113">
        <f t="shared" si="17"/>
        <v>-0.39794863130761032</v>
      </c>
      <c r="L113">
        <f t="shared" si="18"/>
        <v>116.30390143737166</v>
      </c>
      <c r="M113">
        <f t="shared" si="19"/>
        <v>2.029886012997101</v>
      </c>
      <c r="N113">
        <f t="shared" si="20"/>
        <v>-0.44313223418263453</v>
      </c>
      <c r="O113">
        <f t="shared" si="21"/>
        <v>0.17634386608126287</v>
      </c>
      <c r="P113">
        <f t="shared" si="22"/>
        <v>0.17727086327342506</v>
      </c>
      <c r="Q113">
        <f t="shared" si="23"/>
        <v>10.156872296207926</v>
      </c>
      <c r="R113">
        <f t="shared" si="24"/>
        <v>0.17915141519049363</v>
      </c>
      <c r="S113">
        <f t="shared" si="25"/>
        <v>2.9653861635611085E-2</v>
      </c>
      <c r="T113">
        <f t="shared" si="26"/>
        <v>1.5411381174106253</v>
      </c>
      <c r="U113">
        <f t="shared" si="27"/>
        <v>88.30070977436597</v>
      </c>
      <c r="V113">
        <f t="shared" si="28"/>
        <v>5.8867139849577317</v>
      </c>
      <c r="X113">
        <f t="shared" si="29"/>
        <v>1.9783443056717444E-2</v>
      </c>
      <c r="Y113">
        <f t="shared" si="30"/>
        <v>1.5510115930216202</v>
      </c>
      <c r="Z113">
        <f t="shared" si="31"/>
        <v>88.866418256001339</v>
      </c>
      <c r="AA113">
        <f t="shared" si="32"/>
        <v>5.924427883733423</v>
      </c>
      <c r="AB113">
        <f t="shared" si="33"/>
        <v>12.151144232533154</v>
      </c>
    </row>
    <row r="114" spans="10:28" x14ac:dyDescent="0.3">
      <c r="J114">
        <v>109</v>
      </c>
      <c r="K114">
        <f t="shared" si="17"/>
        <v>-0.39794863130761032</v>
      </c>
      <c r="L114">
        <f t="shared" si="18"/>
        <v>117.28952772073922</v>
      </c>
      <c r="M114">
        <f t="shared" si="19"/>
        <v>2.0470884368360593</v>
      </c>
      <c r="N114">
        <f t="shared" si="20"/>
        <v>-0.45848712914008766</v>
      </c>
      <c r="O114">
        <f t="shared" si="21"/>
        <v>0.18245432551345347</v>
      </c>
      <c r="P114">
        <f t="shared" si="22"/>
        <v>0.18348210229406178</v>
      </c>
      <c r="Q114">
        <f t="shared" si="23"/>
        <v>10.512750077637381</v>
      </c>
      <c r="R114">
        <f t="shared" si="24"/>
        <v>0.18556922932277461</v>
      </c>
      <c r="S114">
        <f t="shared" si="25"/>
        <v>3.0716164001904803E-2</v>
      </c>
      <c r="T114">
        <f t="shared" si="26"/>
        <v>1.5400753307127846</v>
      </c>
      <c r="U114">
        <f t="shared" si="27"/>
        <v>88.239816582057045</v>
      </c>
      <c r="V114">
        <f t="shared" si="28"/>
        <v>5.8826544388038027</v>
      </c>
      <c r="X114">
        <f t="shared" si="29"/>
        <v>2.0492153397071566E-2</v>
      </c>
      <c r="Y114">
        <f t="shared" si="30"/>
        <v>1.5503027389207082</v>
      </c>
      <c r="Z114">
        <f t="shared" si="31"/>
        <v>88.825803907728528</v>
      </c>
      <c r="AA114">
        <f t="shared" si="32"/>
        <v>5.9217202605152348</v>
      </c>
      <c r="AB114">
        <f t="shared" si="33"/>
        <v>12.15655947896953</v>
      </c>
    </row>
    <row r="115" spans="10:28" x14ac:dyDescent="0.3">
      <c r="J115">
        <v>110</v>
      </c>
      <c r="K115">
        <f t="shared" si="17"/>
        <v>-0.39794863130761032</v>
      </c>
      <c r="L115">
        <f t="shared" si="18"/>
        <v>118.27515400410678</v>
      </c>
      <c r="M115">
        <f t="shared" si="19"/>
        <v>2.0642908606750181</v>
      </c>
      <c r="N115">
        <f t="shared" si="20"/>
        <v>-0.47370635037968001</v>
      </c>
      <c r="O115">
        <f t="shared" si="21"/>
        <v>0.18851079377531696</v>
      </c>
      <c r="P115">
        <f t="shared" si="22"/>
        <v>0.18964553172870635</v>
      </c>
      <c r="Q115">
        <f t="shared" si="23"/>
        <v>10.865888571569217</v>
      </c>
      <c r="R115">
        <f t="shared" si="24"/>
        <v>0.19195228363580288</v>
      </c>
      <c r="S115">
        <f t="shared" si="25"/>
        <v>3.1772712783335669E-2</v>
      </c>
      <c r="T115">
        <f t="shared" si="26"/>
        <v>1.5390182657947575</v>
      </c>
      <c r="U115">
        <f t="shared" si="27"/>
        <v>88.179251223582767</v>
      </c>
      <c r="V115">
        <f t="shared" si="28"/>
        <v>5.8786167482388514</v>
      </c>
      <c r="X115">
        <f t="shared" si="29"/>
        <v>2.1197025258649974E-2</v>
      </c>
      <c r="Y115">
        <f t="shared" si="30"/>
        <v>1.5495977138622685</v>
      </c>
      <c r="Z115">
        <f t="shared" si="31"/>
        <v>88.785408947428976</v>
      </c>
      <c r="AA115">
        <f t="shared" si="32"/>
        <v>5.9190272631619321</v>
      </c>
      <c r="AB115">
        <f t="shared" si="33"/>
        <v>12.161945473676136</v>
      </c>
    </row>
    <row r="116" spans="10:28" x14ac:dyDescent="0.3">
      <c r="J116">
        <v>111</v>
      </c>
      <c r="K116">
        <f t="shared" si="17"/>
        <v>-0.39794863130761032</v>
      </c>
      <c r="L116">
        <f t="shared" si="18"/>
        <v>119.26078028747433</v>
      </c>
      <c r="M116">
        <f t="shared" si="19"/>
        <v>2.0814932845139764</v>
      </c>
      <c r="N116">
        <f t="shared" si="20"/>
        <v>-0.48878539428899226</v>
      </c>
      <c r="O116">
        <f t="shared" si="21"/>
        <v>0.19451147866045512</v>
      </c>
      <c r="P116">
        <f t="shared" si="22"/>
        <v>0.1957593918858552</v>
      </c>
      <c r="Q116">
        <f t="shared" si="23"/>
        <v>11.216186955107037</v>
      </c>
      <c r="R116">
        <f t="shared" si="24"/>
        <v>0.19829894044330545</v>
      </c>
      <c r="S116">
        <f t="shared" si="25"/>
        <v>3.2823236903495548E-2</v>
      </c>
      <c r="T116">
        <f t="shared" si="26"/>
        <v>1.5379671932650663</v>
      </c>
      <c r="U116">
        <f t="shared" si="27"/>
        <v>88.119029203669314</v>
      </c>
      <c r="V116">
        <f t="shared" si="28"/>
        <v>5.8746019469112873</v>
      </c>
      <c r="X116">
        <f t="shared" si="29"/>
        <v>2.1897877794022063E-2</v>
      </c>
      <c r="Y116">
        <f t="shared" si="30"/>
        <v>1.5488966985554986</v>
      </c>
      <c r="Z116">
        <f t="shared" si="31"/>
        <v>88.745243728976988</v>
      </c>
      <c r="AA116">
        <f t="shared" si="32"/>
        <v>5.9163495819317991</v>
      </c>
      <c r="AB116">
        <f t="shared" si="33"/>
        <v>12.167300836136402</v>
      </c>
    </row>
    <row r="117" spans="10:28" x14ac:dyDescent="0.3">
      <c r="J117">
        <v>112</v>
      </c>
      <c r="K117">
        <f t="shared" si="17"/>
        <v>-0.39794863130761032</v>
      </c>
      <c r="L117">
        <f t="shared" si="18"/>
        <v>120.24640657084188</v>
      </c>
      <c r="M117">
        <f t="shared" si="19"/>
        <v>2.0986957083529352</v>
      </c>
      <c r="N117">
        <f t="shared" si="20"/>
        <v>-0.50371979873633399</v>
      </c>
      <c r="O117">
        <f t="shared" si="21"/>
        <v>0.20045460446966906</v>
      </c>
      <c r="P117">
        <f t="shared" si="22"/>
        <v>0.20182192152455461</v>
      </c>
      <c r="Q117">
        <f t="shared" si="23"/>
        <v>11.563544316577484</v>
      </c>
      <c r="R117">
        <f t="shared" si="24"/>
        <v>0.20460752514749742</v>
      </c>
      <c r="S117">
        <f t="shared" si="25"/>
        <v>3.3867459176234634E-2</v>
      </c>
      <c r="T117">
        <f t="shared" si="26"/>
        <v>1.5369223899183029</v>
      </c>
      <c r="U117">
        <f t="shared" si="27"/>
        <v>88.059166381478619</v>
      </c>
      <c r="V117">
        <f t="shared" si="28"/>
        <v>5.8706110920985743</v>
      </c>
      <c r="X117">
        <f t="shared" si="29"/>
        <v>2.2594526079670007E-2</v>
      </c>
      <c r="Y117">
        <f t="shared" si="30"/>
        <v>1.5481998778083677</v>
      </c>
      <c r="Z117">
        <f t="shared" si="31"/>
        <v>88.705318841089223</v>
      </c>
      <c r="AA117">
        <f t="shared" si="32"/>
        <v>5.9136879227392818</v>
      </c>
      <c r="AB117">
        <f t="shared" si="33"/>
        <v>12.172624154521436</v>
      </c>
    </row>
    <row r="118" spans="10:28" x14ac:dyDescent="0.3">
      <c r="J118">
        <v>113</v>
      </c>
      <c r="K118">
        <f t="shared" si="17"/>
        <v>-0.39794863130761032</v>
      </c>
      <c r="L118">
        <f t="shared" si="18"/>
        <v>121.23203285420945</v>
      </c>
      <c r="M118">
        <f t="shared" si="19"/>
        <v>2.1158981321918935</v>
      </c>
      <c r="N118">
        <f t="shared" si="20"/>
        <v>-0.51850514439115702</v>
      </c>
      <c r="O118">
        <f t="shared" si="21"/>
        <v>0.2063384125364158</v>
      </c>
      <c r="P118">
        <f t="shared" si="22"/>
        <v>0.20783135814398082</v>
      </c>
      <c r="Q118">
        <f t="shared" si="23"/>
        <v>11.907859672121972</v>
      </c>
      <c r="R118">
        <f t="shared" si="24"/>
        <v>0.2108763256889068</v>
      </c>
      <c r="S118">
        <f t="shared" si="25"/>
        <v>3.4905096214594249E-2</v>
      </c>
      <c r="T118">
        <f t="shared" si="26"/>
        <v>1.5358841388292179</v>
      </c>
      <c r="U118">
        <f t="shared" si="27"/>
        <v>87.999678975999203</v>
      </c>
      <c r="V118">
        <f t="shared" si="28"/>
        <v>5.8666452650666132</v>
      </c>
      <c r="X118">
        <f t="shared" si="29"/>
        <v>2.3286781055233675E-2</v>
      </c>
      <c r="Y118">
        <f t="shared" si="30"/>
        <v>1.5475074405892644</v>
      </c>
      <c r="Z118">
        <f t="shared" si="31"/>
        <v>88.665645110856829</v>
      </c>
      <c r="AA118">
        <f t="shared" si="32"/>
        <v>5.9110430073904556</v>
      </c>
      <c r="AB118">
        <f t="shared" si="33"/>
        <v>12.177913985219089</v>
      </c>
    </row>
    <row r="119" spans="10:28" x14ac:dyDescent="0.3">
      <c r="J119">
        <v>114</v>
      </c>
      <c r="K119">
        <f t="shared" si="17"/>
        <v>-0.39794863130761032</v>
      </c>
      <c r="L119">
        <f t="shared" si="18"/>
        <v>122.217659137577</v>
      </c>
      <c r="M119">
        <f t="shared" si="19"/>
        <v>2.1331005560308522</v>
      </c>
      <c r="N119">
        <f t="shared" si="20"/>
        <v>-0.53313705603180939</v>
      </c>
      <c r="O119">
        <f t="shared" si="21"/>
        <v>0.21216116174722729</v>
      </c>
      <c r="P119">
        <f t="shared" si="22"/>
        <v>0.21378593830852782</v>
      </c>
      <c r="Q119">
        <f t="shared" si="23"/>
        <v>12.24903198432283</v>
      </c>
      <c r="R119">
        <f t="shared" si="24"/>
        <v>0.21710359208924226</v>
      </c>
      <c r="S119">
        <f t="shared" si="25"/>
        <v>3.5935858355140467E-2</v>
      </c>
      <c r="T119">
        <f t="shared" si="26"/>
        <v>1.5348527294313663</v>
      </c>
      <c r="U119">
        <f t="shared" si="27"/>
        <v>87.940583570552164</v>
      </c>
      <c r="V119">
        <f t="shared" si="28"/>
        <v>5.8627055713701441</v>
      </c>
      <c r="X119">
        <f t="shared" si="29"/>
        <v>2.3974449473030155E-2</v>
      </c>
      <c r="Y119">
        <f t="shared" si="30"/>
        <v>1.5468195800783591</v>
      </c>
      <c r="Z119">
        <f t="shared" si="31"/>
        <v>88.62623360668826</v>
      </c>
      <c r="AA119">
        <f t="shared" si="32"/>
        <v>5.9084155737792177</v>
      </c>
      <c r="AB119">
        <f t="shared" si="33"/>
        <v>12.183168852441565</v>
      </c>
    </row>
    <row r="120" spans="10:28" x14ac:dyDescent="0.3">
      <c r="J120">
        <v>115</v>
      </c>
      <c r="K120">
        <f t="shared" si="17"/>
        <v>-0.39794863130761032</v>
      </c>
      <c r="L120">
        <f t="shared" si="18"/>
        <v>123.20328542094455</v>
      </c>
      <c r="M120">
        <f t="shared" si="19"/>
        <v>2.1503029798698106</v>
      </c>
      <c r="N120">
        <f t="shared" si="20"/>
        <v>-0.54761120384023121</v>
      </c>
      <c r="O120">
        <f t="shared" si="21"/>
        <v>0.21792112905693281</v>
      </c>
      <c r="P120">
        <f t="shared" si="22"/>
        <v>0.21968389800948615</v>
      </c>
      <c r="Q120">
        <f t="shared" si="23"/>
        <v>12.586960182925983</v>
      </c>
      <c r="R120">
        <f t="shared" si="24"/>
        <v>0.22328753609281354</v>
      </c>
      <c r="S120">
        <f t="shared" si="25"/>
        <v>3.695944959861059E-2</v>
      </c>
      <c r="T120">
        <f t="shared" si="26"/>
        <v>1.5338284575793906</v>
      </c>
      <c r="U120">
        <f t="shared" si="27"/>
        <v>87.881897116359895</v>
      </c>
      <c r="V120">
        <f t="shared" si="28"/>
        <v>5.8587931410906595</v>
      </c>
      <c r="X120">
        <f t="shared" si="29"/>
        <v>2.4657333858456285E-2</v>
      </c>
      <c r="Y120">
        <f t="shared" si="30"/>
        <v>1.5461364937080664</v>
      </c>
      <c r="Z120">
        <f t="shared" si="31"/>
        <v>88.587095640627567</v>
      </c>
      <c r="AA120">
        <f t="shared" si="32"/>
        <v>5.9058063760418378</v>
      </c>
      <c r="AB120">
        <f t="shared" si="33"/>
        <v>12.188387247916324</v>
      </c>
    </row>
    <row r="121" spans="10:28" x14ac:dyDescent="0.3">
      <c r="J121">
        <v>116</v>
      </c>
      <c r="K121">
        <f t="shared" si="17"/>
        <v>-0.39794863130761032</v>
      </c>
      <c r="L121">
        <f t="shared" si="18"/>
        <v>124.18891170431212</v>
      </c>
      <c r="M121">
        <f t="shared" si="19"/>
        <v>2.1675054037087689</v>
      </c>
      <c r="N121">
        <f t="shared" si="20"/>
        <v>-0.56192330468321949</v>
      </c>
      <c r="O121">
        <f t="shared" si="21"/>
        <v>0.2236166099985365</v>
      </c>
      <c r="P121">
        <f t="shared" si="22"/>
        <v>0.22552347306436207</v>
      </c>
      <c r="Q121">
        <f t="shared" si="23"/>
        <v>12.921543187720248</v>
      </c>
      <c r="R121">
        <f t="shared" si="24"/>
        <v>0.22942633091212181</v>
      </c>
      <c r="S121">
        <f t="shared" si="25"/>
        <v>3.7975567567802231E-2</v>
      </c>
      <c r="T121">
        <f t="shared" si="26"/>
        <v>1.5328116255939899</v>
      </c>
      <c r="U121">
        <f t="shared" si="27"/>
        <v>87.823636935122522</v>
      </c>
      <c r="V121">
        <f t="shared" si="28"/>
        <v>5.8549091290081678</v>
      </c>
      <c r="X121">
        <f t="shared" si="29"/>
        <v>2.5335232481894572E-2</v>
      </c>
      <c r="Y121">
        <f t="shared" si="30"/>
        <v>1.5454583831919835</v>
      </c>
      <c r="Z121">
        <f t="shared" si="31"/>
        <v>88.548242770012578</v>
      </c>
      <c r="AA121">
        <f t="shared" si="32"/>
        <v>5.9032161846675049</v>
      </c>
      <c r="AB121">
        <f t="shared" si="33"/>
        <v>12.19356763066499</v>
      </c>
    </row>
    <row r="122" spans="10:28" x14ac:dyDescent="0.3">
      <c r="J122">
        <v>117</v>
      </c>
      <c r="K122">
        <f t="shared" si="17"/>
        <v>-0.39794863130761032</v>
      </c>
      <c r="L122">
        <f t="shared" si="18"/>
        <v>125.17453798767967</v>
      </c>
      <c r="M122">
        <f t="shared" si="19"/>
        <v>2.1847078275477276</v>
      </c>
      <c r="N122">
        <f t="shared" si="20"/>
        <v>-0.57606912337987581</v>
      </c>
      <c r="O122">
        <f t="shared" si="21"/>
        <v>0.22924591918759649</v>
      </c>
      <c r="P122">
        <f t="shared" si="22"/>
        <v>0.23130289955482941</v>
      </c>
      <c r="Q122">
        <f t="shared" si="23"/>
        <v>13.252679933630134</v>
      </c>
      <c r="R122">
        <f t="shared" si="24"/>
        <v>0.235518111083304</v>
      </c>
      <c r="S122">
        <f t="shared" si="25"/>
        <v>3.8983903483645901E-2</v>
      </c>
      <c r="T122">
        <f t="shared" si="26"/>
        <v>1.5318025422886226</v>
      </c>
      <c r="U122">
        <f t="shared" si="27"/>
        <v>87.765820720547879</v>
      </c>
      <c r="V122">
        <f t="shared" si="28"/>
        <v>5.8510547147031922</v>
      </c>
      <c r="X122">
        <f t="shared" si="29"/>
        <v>2.6007939342750107E-2</v>
      </c>
      <c r="Y122">
        <f t="shared" si="30"/>
        <v>1.5447854545416717</v>
      </c>
      <c r="Z122">
        <f t="shared" si="31"/>
        <v>88.509686798436277</v>
      </c>
      <c r="AA122">
        <f t="shared" si="32"/>
        <v>5.9006457865624187</v>
      </c>
      <c r="AB122">
        <f t="shared" si="33"/>
        <v>12.198708426875163</v>
      </c>
    </row>
    <row r="123" spans="10:28" x14ac:dyDescent="0.3">
      <c r="J123">
        <v>118</v>
      </c>
      <c r="K123">
        <f t="shared" si="17"/>
        <v>-0.39794863130761032</v>
      </c>
      <c r="L123">
        <f t="shared" si="18"/>
        <v>126.16016427104722</v>
      </c>
      <c r="M123">
        <f t="shared" si="19"/>
        <v>2.2019102513866859</v>
      </c>
      <c r="N123">
        <f t="shared" si="20"/>
        <v>-0.5900444739548627</v>
      </c>
      <c r="O123">
        <f t="shared" si="21"/>
        <v>0.23480739082095653</v>
      </c>
      <c r="P123">
        <f t="shared" si="22"/>
        <v>0.23702041430425411</v>
      </c>
      <c r="Q123">
        <f t="shared" si="23"/>
        <v>13.580269398075966</v>
      </c>
      <c r="R123">
        <f t="shared" si="24"/>
        <v>0.24156097243716765</v>
      </c>
      <c r="S123">
        <f t="shared" si="25"/>
        <v>3.9984142160410553E-2</v>
      </c>
      <c r="T123">
        <f t="shared" si="26"/>
        <v>1.5308015229769718</v>
      </c>
      <c r="U123">
        <f t="shared" si="27"/>
        <v>87.708466538779206</v>
      </c>
      <c r="V123">
        <f t="shared" si="28"/>
        <v>5.8472311025852806</v>
      </c>
      <c r="X123">
        <f t="shared" si="29"/>
        <v>2.6675244166251961E-2</v>
      </c>
      <c r="Y123">
        <f t="shared" si="30"/>
        <v>1.5441179180706439</v>
      </c>
      <c r="Z123">
        <f t="shared" si="31"/>
        <v>88.471439775975341</v>
      </c>
      <c r="AA123">
        <f t="shared" si="32"/>
        <v>5.898095985065023</v>
      </c>
      <c r="AB123">
        <f t="shared" si="33"/>
        <v>12.203808029869954</v>
      </c>
    </row>
    <row r="124" spans="10:28" x14ac:dyDescent="0.3">
      <c r="J124">
        <v>119</v>
      </c>
      <c r="K124">
        <f t="shared" si="17"/>
        <v>-0.39794863130761032</v>
      </c>
      <c r="L124">
        <f t="shared" si="18"/>
        <v>127.14579055441479</v>
      </c>
      <c r="M124">
        <f t="shared" si="19"/>
        <v>2.2191126752256447</v>
      </c>
      <c r="N124">
        <f t="shared" si="20"/>
        <v>-0.60384522087710379</v>
      </c>
      <c r="O124">
        <f t="shared" si="21"/>
        <v>0.24029937916968511</v>
      </c>
      <c r="P124">
        <f t="shared" si="22"/>
        <v>0.24267425539567075</v>
      </c>
      <c r="Q124">
        <f t="shared" si="23"/>
        <v>13.904210630651781</v>
      </c>
      <c r="R124">
        <f t="shared" si="24"/>
        <v>0.24755297219157568</v>
      </c>
      <c r="S124">
        <f t="shared" si="25"/>
        <v>4.0975962020995502E-2</v>
      </c>
      <c r="T124">
        <f t="shared" si="26"/>
        <v>1.5298088894602044</v>
      </c>
      <c r="U124">
        <f t="shared" si="27"/>
        <v>87.651592827665212</v>
      </c>
      <c r="V124">
        <f t="shared" si="28"/>
        <v>5.8434395218443473</v>
      </c>
      <c r="X124">
        <f t="shared" si="29"/>
        <v>2.7336932413655136E-2</v>
      </c>
      <c r="Y124">
        <f t="shared" si="30"/>
        <v>1.5434559883849133</v>
      </c>
      <c r="Z124">
        <f t="shared" si="31"/>
        <v>88.43351399864855</v>
      </c>
      <c r="AA124">
        <f t="shared" si="32"/>
        <v>5.8955675999099038</v>
      </c>
      <c r="AB124">
        <f t="shared" si="33"/>
        <v>12.208864800180192</v>
      </c>
    </row>
    <row r="125" spans="10:28" x14ac:dyDescent="0.3">
      <c r="J125">
        <v>120</v>
      </c>
      <c r="K125">
        <f t="shared" si="17"/>
        <v>-0.39794863130761032</v>
      </c>
      <c r="L125">
        <f t="shared" si="18"/>
        <v>128.13141683778235</v>
      </c>
      <c r="M125">
        <f t="shared" si="19"/>
        <v>2.236315099064603</v>
      </c>
      <c r="N125">
        <f t="shared" si="20"/>
        <v>-0.61746728028355169</v>
      </c>
      <c r="O125">
        <f t="shared" si="21"/>
        <v>0.24572025906607201</v>
      </c>
      <c r="P125">
        <f t="shared" si="22"/>
        <v>0.24826266273101161</v>
      </c>
      <c r="Q125">
        <f t="shared" si="23"/>
        <v>14.22440278516676</v>
      </c>
      <c r="R125">
        <f t="shared" si="24"/>
        <v>0.25349212917092034</v>
      </c>
      <c r="S125">
        <f t="shared" si="25"/>
        <v>4.1959035133258618E-2</v>
      </c>
      <c r="T125">
        <f t="shared" si="26"/>
        <v>1.528824969993053</v>
      </c>
      <c r="U125">
        <f t="shared" si="27"/>
        <v>87.595218394816655</v>
      </c>
      <c r="V125">
        <f t="shared" si="28"/>
        <v>5.83968122632111</v>
      </c>
      <c r="X125">
        <f t="shared" si="29"/>
        <v>2.7992785306476749E-2</v>
      </c>
      <c r="Y125">
        <f t="shared" si="30"/>
        <v>1.5427998843594672</v>
      </c>
      <c r="Z125">
        <f t="shared" si="31"/>
        <v>88.395922007068947</v>
      </c>
      <c r="AA125">
        <f t="shared" si="32"/>
        <v>5.8930614671379296</v>
      </c>
      <c r="AB125">
        <f t="shared" si="33"/>
        <v>12.213877065724141</v>
      </c>
    </row>
    <row r="126" spans="10:28" x14ac:dyDescent="0.3">
      <c r="J126">
        <v>121</v>
      </c>
      <c r="K126">
        <f t="shared" si="17"/>
        <v>-0.39794863130761032</v>
      </c>
      <c r="L126">
        <f t="shared" si="18"/>
        <v>129.11704312114989</v>
      </c>
      <c r="M126">
        <f t="shared" si="19"/>
        <v>2.2535175229035613</v>
      </c>
      <c r="N126">
        <f t="shared" si="20"/>
        <v>-0.63090662118767038</v>
      </c>
      <c r="O126">
        <f t="shared" si="21"/>
        <v>0.25106842638454241</v>
      </c>
      <c r="P126">
        <f t="shared" si="22"/>
        <v>0.25378387863231977</v>
      </c>
      <c r="Q126">
        <f t="shared" si="23"/>
        <v>14.540745154092237</v>
      </c>
      <c r="R126">
        <f t="shared" si="24"/>
        <v>0.25937642415838907</v>
      </c>
      <c r="S126">
        <f t="shared" si="25"/>
        <v>4.2933027268324805E-2</v>
      </c>
      <c r="T126">
        <f t="shared" si="26"/>
        <v>1.5278500992277546</v>
      </c>
      <c r="U126">
        <f t="shared" si="27"/>
        <v>87.539362414394375</v>
      </c>
      <c r="V126">
        <f t="shared" si="28"/>
        <v>5.8359574942929582</v>
      </c>
      <c r="X126">
        <f t="shared" si="29"/>
        <v>2.8642579865396277E-2</v>
      </c>
      <c r="Y126">
        <f t="shared" si="30"/>
        <v>1.5421498291000288</v>
      </c>
      <c r="Z126">
        <f t="shared" si="31"/>
        <v>88.358676584252834</v>
      </c>
      <c r="AA126">
        <f t="shared" si="32"/>
        <v>5.8905784389501887</v>
      </c>
      <c r="AB126">
        <f t="shared" si="33"/>
        <v>12.218843122099623</v>
      </c>
    </row>
    <row r="127" spans="10:28" x14ac:dyDescent="0.3">
      <c r="J127">
        <v>122</v>
      </c>
      <c r="K127">
        <f t="shared" si="17"/>
        <v>-0.39794863130761032</v>
      </c>
      <c r="L127">
        <f t="shared" si="18"/>
        <v>130.10266940451746</v>
      </c>
      <c r="M127">
        <f t="shared" si="19"/>
        <v>2.2707199467425196</v>
      </c>
      <c r="N127">
        <f t="shared" si="20"/>
        <v>-0.64415926667226819</v>
      </c>
      <c r="O127">
        <f t="shared" si="21"/>
        <v>0.2563422985163431</v>
      </c>
      <c r="P127">
        <f t="shared" si="22"/>
        <v>0.25923614848558246</v>
      </c>
      <c r="Q127">
        <f t="shared" si="23"/>
        <v>14.853137205450604</v>
      </c>
      <c r="R127">
        <f t="shared" si="24"/>
        <v>0.26520380038663027</v>
      </c>
      <c r="S127">
        <f t="shared" si="25"/>
        <v>4.3897597981802948E-2</v>
      </c>
      <c r="T127">
        <f t="shared" si="26"/>
        <v>1.5268846181349003</v>
      </c>
      <c r="U127">
        <f t="shared" si="27"/>
        <v>87.484044422574144</v>
      </c>
      <c r="V127">
        <f t="shared" si="28"/>
        <v>5.83226962817161</v>
      </c>
      <c r="X127">
        <f t="shared" si="29"/>
        <v>2.9286088964439082E-2</v>
      </c>
      <c r="Y127">
        <f t="shared" si="30"/>
        <v>1.541506049889479</v>
      </c>
      <c r="Z127">
        <f t="shared" si="31"/>
        <v>88.321790752550072</v>
      </c>
      <c r="AA127">
        <f t="shared" si="32"/>
        <v>5.8881193835033381</v>
      </c>
      <c r="AB127">
        <f t="shared" si="33"/>
        <v>12.223761232993324</v>
      </c>
    </row>
    <row r="128" spans="10:28" x14ac:dyDescent="0.3">
      <c r="J128">
        <v>123</v>
      </c>
      <c r="K128">
        <f t="shared" si="17"/>
        <v>-0.39794863130761032</v>
      </c>
      <c r="L128">
        <f t="shared" si="18"/>
        <v>131.08829568788502</v>
      </c>
      <c r="M128">
        <f t="shared" si="19"/>
        <v>2.2879223705814788</v>
      </c>
      <c r="N128">
        <f t="shared" si="20"/>
        <v>-0.6572212950663322</v>
      </c>
      <c r="O128">
        <f t="shared" si="21"/>
        <v>0.261540314837862</v>
      </c>
      <c r="P128">
        <f t="shared" si="22"/>
        <v>0.26461772142773216</v>
      </c>
      <c r="Q128">
        <f t="shared" si="23"/>
        <v>15.161478622177581</v>
      </c>
      <c r="R128">
        <f t="shared" si="24"/>
        <v>0.27097216417230796</v>
      </c>
      <c r="S128">
        <f t="shared" si="25"/>
        <v>4.4852400718819969E-2</v>
      </c>
      <c r="T128">
        <f t="shared" si="26"/>
        <v>1.5259288739002601</v>
      </c>
      <c r="U128">
        <f t="shared" si="27"/>
        <v>87.4292843116353</v>
      </c>
      <c r="V128">
        <f t="shared" si="28"/>
        <v>5.8286189541090199</v>
      </c>
      <c r="X128">
        <f t="shared" si="29"/>
        <v>2.9923081401049437E-2</v>
      </c>
      <c r="Y128">
        <f t="shared" si="30"/>
        <v>1.5408687781183303</v>
      </c>
      <c r="Z128">
        <f t="shared" si="31"/>
        <v>88.285277769660411</v>
      </c>
      <c r="AA128">
        <f t="shared" si="32"/>
        <v>5.8856851846440277</v>
      </c>
      <c r="AB128">
        <f t="shared" si="33"/>
        <v>12.228629630711945</v>
      </c>
    </row>
    <row r="129" spans="10:28" x14ac:dyDescent="0.3">
      <c r="J129">
        <v>124</v>
      </c>
      <c r="K129">
        <f t="shared" si="17"/>
        <v>-0.39794863130761032</v>
      </c>
      <c r="L129">
        <f t="shared" si="18"/>
        <v>132.07392197125256</v>
      </c>
      <c r="M129">
        <f t="shared" si="19"/>
        <v>2.3051247944204367</v>
      </c>
      <c r="N129">
        <f t="shared" si="20"/>
        <v>-0.67008884110551126</v>
      </c>
      <c r="O129">
        <f t="shared" si="21"/>
        <v>0.26666093717244099</v>
      </c>
      <c r="P129">
        <f t="shared" si="22"/>
        <v>0.26992685107725267</v>
      </c>
      <c r="Q129">
        <f t="shared" si="23"/>
        <v>15.465669343982878</v>
      </c>
      <c r="R129">
        <f t="shared" si="24"/>
        <v>0.27667938569985634</v>
      </c>
      <c r="S129">
        <f t="shared" si="25"/>
        <v>4.5797082943751011E-2</v>
      </c>
      <c r="T129">
        <f t="shared" si="26"/>
        <v>1.5249832197966853</v>
      </c>
      <c r="U129">
        <f t="shared" si="27"/>
        <v>87.375102322621231</v>
      </c>
      <c r="V129">
        <f t="shared" si="28"/>
        <v>5.8250068215080821</v>
      </c>
      <c r="X129">
        <f t="shared" si="29"/>
        <v>3.0553321982639419E-2</v>
      </c>
      <c r="Y129">
        <f t="shared" si="30"/>
        <v>1.540238249198655</v>
      </c>
      <c r="Z129">
        <f t="shared" si="31"/>
        <v>88.249151123702077</v>
      </c>
      <c r="AA129">
        <f t="shared" si="32"/>
        <v>5.8832767415801381</v>
      </c>
      <c r="AB129">
        <f t="shared" si="33"/>
        <v>12.233446516839724</v>
      </c>
    </row>
    <row r="130" spans="10:28" x14ac:dyDescent="0.3">
      <c r="J130">
        <v>125</v>
      </c>
      <c r="K130">
        <f t="shared" si="17"/>
        <v>-0.39794863130761032</v>
      </c>
      <c r="L130">
        <f t="shared" si="18"/>
        <v>133.05954825462013</v>
      </c>
      <c r="M130">
        <f t="shared" si="19"/>
        <v>2.3223272182593955</v>
      </c>
      <c r="N130">
        <f t="shared" si="20"/>
        <v>-0.68275809707591506</v>
      </c>
      <c r="O130">
        <f t="shared" si="21"/>
        <v>0.27170265024554896</v>
      </c>
      <c r="P130">
        <f t="shared" si="22"/>
        <v>0.27516179630872434</v>
      </c>
      <c r="Q130">
        <f t="shared" si="23"/>
        <v>15.76560961172834</v>
      </c>
      <c r="R130">
        <f t="shared" si="24"/>
        <v>0.28232329995953753</v>
      </c>
      <c r="S130">
        <f t="shared" si="25"/>
        <v>4.6731286295490539E-2</v>
      </c>
      <c r="T130">
        <f t="shared" si="26"/>
        <v>1.5240480150302156</v>
      </c>
      <c r="U130">
        <f t="shared" si="27"/>
        <v>87.32151903652202</v>
      </c>
      <c r="V130">
        <f t="shared" si="28"/>
        <v>5.8214346024348016</v>
      </c>
      <c r="X130">
        <f t="shared" si="29"/>
        <v>3.1176571630177362E-2</v>
      </c>
      <c r="Y130">
        <f t="shared" si="30"/>
        <v>1.5396147024608986</v>
      </c>
      <c r="Z130">
        <f t="shared" si="31"/>
        <v>88.21342452729948</v>
      </c>
      <c r="AA130">
        <f t="shared" si="32"/>
        <v>5.8808949684866318</v>
      </c>
      <c r="AB130">
        <f t="shared" si="33"/>
        <v>12.238210063026736</v>
      </c>
    </row>
    <row r="131" spans="10:28" x14ac:dyDescent="0.3">
      <c r="J131">
        <v>126</v>
      </c>
      <c r="K131">
        <f t="shared" si="17"/>
        <v>-0.39794863130761032</v>
      </c>
      <c r="L131">
        <f t="shared" si="18"/>
        <v>134.04517453798769</v>
      </c>
      <c r="M131">
        <f t="shared" si="19"/>
        <v>2.3395296420983538</v>
      </c>
      <c r="N131">
        <f t="shared" si="20"/>
        <v>-0.69522531394087217</v>
      </c>
      <c r="O131">
        <f t="shared" si="21"/>
        <v>0.27666396213317379</v>
      </c>
      <c r="P131">
        <f t="shared" si="22"/>
        <v>0.28032082207150566</v>
      </c>
      <c r="Q131">
        <f t="shared" si="23"/>
        <v>16.061200014334968</v>
      </c>
      <c r="R131">
        <f t="shared" si="24"/>
        <v>0.28790170784462149</v>
      </c>
      <c r="S131">
        <f t="shared" si="25"/>
        <v>4.7654646769061941E-2</v>
      </c>
      <c r="T131">
        <f t="shared" si="26"/>
        <v>1.5231236245595741</v>
      </c>
      <c r="U131">
        <f t="shared" si="27"/>
        <v>87.268555363932137</v>
      </c>
      <c r="V131">
        <f t="shared" si="28"/>
        <v>5.8179036909288095</v>
      </c>
      <c r="X131">
        <f t="shared" si="29"/>
        <v>3.1792587499347887E-2</v>
      </c>
      <c r="Y131">
        <f t="shared" si="30"/>
        <v>1.5389983810330421</v>
      </c>
      <c r="Z131">
        <f t="shared" si="31"/>
        <v>88.178111910659837</v>
      </c>
      <c r="AA131">
        <f t="shared" si="32"/>
        <v>5.8785407940439889</v>
      </c>
      <c r="AB131">
        <f t="shared" si="33"/>
        <v>12.242918411912022</v>
      </c>
    </row>
    <row r="132" spans="10:28" x14ac:dyDescent="0.3">
      <c r="J132">
        <v>127</v>
      </c>
      <c r="K132">
        <f t="shared" si="17"/>
        <v>-0.39794863130761032</v>
      </c>
      <c r="L132">
        <f t="shared" si="18"/>
        <v>135.03080082135523</v>
      </c>
      <c r="M132">
        <f t="shared" si="19"/>
        <v>2.3567320659373121</v>
      </c>
      <c r="N132">
        <f t="shared" si="20"/>
        <v>-0.70748680245033457</v>
      </c>
      <c r="O132">
        <f t="shared" si="21"/>
        <v>0.28154340470330835</v>
      </c>
      <c r="P132">
        <f t="shared" si="22"/>
        <v>0.28540220025263602</v>
      </c>
      <c r="Q132">
        <f t="shared" si="23"/>
        <v>16.352341538223602</v>
      </c>
      <c r="R132">
        <f t="shared" si="24"/>
        <v>0.29341237741220427</v>
      </c>
      <c r="S132">
        <f t="shared" si="25"/>
        <v>4.8566794924313268E-2</v>
      </c>
      <c r="T132">
        <f t="shared" si="26"/>
        <v>1.5222104188882741</v>
      </c>
      <c r="U132">
        <f t="shared" si="27"/>
        <v>87.216232533139234</v>
      </c>
      <c r="V132">
        <f t="shared" si="28"/>
        <v>5.8144155022092825</v>
      </c>
      <c r="X132">
        <f t="shared" si="29"/>
        <v>3.2401123119782355E-2</v>
      </c>
      <c r="Y132">
        <f t="shared" si="30"/>
        <v>1.5383895317016012</v>
      </c>
      <c r="Z132">
        <f t="shared" si="31"/>
        <v>88.143227413608898</v>
      </c>
      <c r="AA132">
        <f t="shared" si="32"/>
        <v>5.8762151609072601</v>
      </c>
      <c r="AB132">
        <f t="shared" si="33"/>
        <v>12.24756967818548</v>
      </c>
    </row>
    <row r="133" spans="10:28" x14ac:dyDescent="0.3">
      <c r="J133">
        <v>128</v>
      </c>
      <c r="K133">
        <f t="shared" si="17"/>
        <v>-0.39794863130761032</v>
      </c>
      <c r="L133">
        <f t="shared" si="18"/>
        <v>136.01642710472279</v>
      </c>
      <c r="M133">
        <f t="shared" si="19"/>
        <v>2.3739344897762709</v>
      </c>
      <c r="N133">
        <f t="shared" si="20"/>
        <v>-0.71953893423258397</v>
      </c>
      <c r="O133">
        <f t="shared" si="21"/>
        <v>0.28633953405039342</v>
      </c>
      <c r="P133">
        <f t="shared" si="22"/>
        <v>0.2904042105838881</v>
      </c>
      <c r="Q133">
        <f t="shared" si="23"/>
        <v>16.638935619285181</v>
      </c>
      <c r="R133">
        <f t="shared" si="24"/>
        <v>0.29885304531178952</v>
      </c>
      <c r="S133">
        <f t="shared" si="25"/>
        <v>4.9467356122381727E-2</v>
      </c>
      <c r="T133">
        <f t="shared" si="26"/>
        <v>1.5213087738286331</v>
      </c>
      <c r="U133">
        <f t="shared" si="27"/>
        <v>87.16457207660298</v>
      </c>
      <c r="V133">
        <f t="shared" si="28"/>
        <v>5.8109714717735317</v>
      </c>
      <c r="X133">
        <f t="shared" si="29"/>
        <v>3.3001928552815113E-2</v>
      </c>
      <c r="Y133">
        <f t="shared" si="30"/>
        <v>1.537788404754006</v>
      </c>
      <c r="Z133">
        <f t="shared" si="31"/>
        <v>88.108785376560121</v>
      </c>
      <c r="AA133">
        <f t="shared" si="32"/>
        <v>5.8739190251040077</v>
      </c>
      <c r="AB133">
        <f t="shared" si="33"/>
        <v>12.252161949791985</v>
      </c>
    </row>
    <row r="134" spans="10:28" x14ac:dyDescent="0.3">
      <c r="J134">
        <v>129</v>
      </c>
      <c r="K134">
        <f t="shared" si="17"/>
        <v>-0.39794863130761032</v>
      </c>
      <c r="L134">
        <f t="shared" si="18"/>
        <v>137.00205338809036</v>
      </c>
      <c r="M134">
        <f t="shared" si="19"/>
        <v>2.3911369136152292</v>
      </c>
      <c r="N134">
        <f t="shared" si="20"/>
        <v>-0.73137814286792535</v>
      </c>
      <c r="O134">
        <f t="shared" si="21"/>
        <v>0.29105093092259277</v>
      </c>
      <c r="P134">
        <f t="shared" si="22"/>
        <v>0.29532514159276124</v>
      </c>
      <c r="Q134">
        <f t="shared" si="23"/>
        <v>16.920884197368665</v>
      </c>
      <c r="R134">
        <f t="shared" si="24"/>
        <v>0.30422141838533395</v>
      </c>
      <c r="S134">
        <f t="shared" si="25"/>
        <v>5.0355950790539693E-2</v>
      </c>
      <c r="T134">
        <f t="shared" si="26"/>
        <v>1.5204190702370557</v>
      </c>
      <c r="U134">
        <f t="shared" si="27"/>
        <v>87.113595815787974</v>
      </c>
      <c r="V134">
        <f t="shared" si="28"/>
        <v>5.8075730543858652</v>
      </c>
      <c r="X134">
        <f t="shared" si="29"/>
        <v>3.3594750568174313E-2</v>
      </c>
      <c r="Y134">
        <f t="shared" si="30"/>
        <v>1.5371952538019413</v>
      </c>
      <c r="Z134">
        <f t="shared" si="31"/>
        <v>88.074800330392648</v>
      </c>
      <c r="AA134">
        <f t="shared" si="32"/>
        <v>5.8716533553595101</v>
      </c>
      <c r="AB134">
        <f t="shared" si="33"/>
        <v>12.25669328928098</v>
      </c>
    </row>
    <row r="135" spans="10:28" x14ac:dyDescent="0.3">
      <c r="J135">
        <v>130</v>
      </c>
      <c r="K135">
        <f t="shared" ref="K135:K198" si="34">-SIN(23.45*PI()/180)</f>
        <v>-0.39794863130761032</v>
      </c>
      <c r="L135">
        <f t="shared" ref="L135:L198" si="35">360*(J135+10)/365.25</f>
        <v>137.9876796714579</v>
      </c>
      <c r="M135">
        <f t="shared" ref="M135:M198" si="36">L135*PI()/180</f>
        <v>2.4083393374541875</v>
      </c>
      <c r="N135">
        <f t="shared" ref="N135:N198" si="37">COS(M135)</f>
        <v>-0.74300092494404935</v>
      </c>
      <c r="O135">
        <f t="shared" ref="O135:O198" si="38">K135*N135</f>
        <v>0.29567620114177295</v>
      </c>
      <c r="P135">
        <f t="shared" ref="P135:P198" si="39">ASIN(O135)</f>
        <v>0.30016329159704386</v>
      </c>
      <c r="Q135">
        <f t="shared" ref="Q135:Q198" si="40">P135*180/PI()</f>
        <v>17.198089773265259</v>
      </c>
      <c r="R135">
        <f t="shared" ref="R135:R198" si="41">TAN(P135)</f>
        <v>0.30951517544196328</v>
      </c>
      <c r="S135">
        <f t="shared" ref="S135:S198" si="42">TAN(D$19)*R135</f>
        <v>5.1232194715952771E-2</v>
      </c>
      <c r="T135">
        <f t="shared" ref="T135:T198" si="43">ACOS(S135)</f>
        <v>1.5195416937200323</v>
      </c>
      <c r="U135">
        <f t="shared" ref="U135:U198" si="44">T135*180/PI()</f>
        <v>87.063325844318641</v>
      </c>
      <c r="V135">
        <f t="shared" ref="V135:V198" si="45">U135/15</f>
        <v>5.8042217229545763</v>
      </c>
      <c r="X135">
        <f t="shared" ref="X135:X198" si="46">TAN(0.109983)*TAN(P135)</f>
        <v>3.417933283996135E-2</v>
      </c>
      <c r="Y135">
        <f t="shared" ref="Y135:Y198" si="47">ACOS(X135)</f>
        <v>1.5366103355852885</v>
      </c>
      <c r="Z135">
        <f t="shared" ref="Z135:Z198" si="48">Y135*180/PI()</f>
        <v>88.041286985218136</v>
      </c>
      <c r="AA135">
        <f t="shared" ref="AA135:AA198" si="49">Z135/15</f>
        <v>5.8694191323478755</v>
      </c>
      <c r="AB135">
        <f t="shared" ref="AB135:AB198" si="50">24-2*AA135</f>
        <v>12.261161735304249</v>
      </c>
    </row>
    <row r="136" spans="10:28" x14ac:dyDescent="0.3">
      <c r="J136">
        <v>131</v>
      </c>
      <c r="K136">
        <f t="shared" si="34"/>
        <v>-0.39794863130761032</v>
      </c>
      <c r="L136">
        <f t="shared" si="35"/>
        <v>138.97330595482546</v>
      </c>
      <c r="M136">
        <f t="shared" si="36"/>
        <v>2.4255417612931462</v>
      </c>
      <c r="N136">
        <f t="shared" si="37"/>
        <v>-0.75440384109274716</v>
      </c>
      <c r="O136">
        <f t="shared" si="38"/>
        <v>0.3002139760160627</v>
      </c>
      <c r="P136">
        <f t="shared" si="39"/>
        <v>0.30491696974240734</v>
      </c>
      <c r="Q136">
        <f t="shared" si="40"/>
        <v>17.470455468158168</v>
      </c>
      <c r="R136">
        <f t="shared" si="41"/>
        <v>0.31473196921000957</v>
      </c>
      <c r="S136">
        <f t="shared" si="42"/>
        <v>5.209569936878887E-2</v>
      </c>
      <c r="T136">
        <f t="shared" si="43"/>
        <v>1.5186770343103901</v>
      </c>
      <c r="U136">
        <f t="shared" si="44"/>
        <v>87.013784509429868</v>
      </c>
      <c r="V136">
        <f t="shared" si="45"/>
        <v>5.800918967295325</v>
      </c>
      <c r="X136">
        <f t="shared" si="46"/>
        <v>3.4755416162211651E-2</v>
      </c>
      <c r="Y136">
        <f t="shared" si="47"/>
        <v>1.5360339097563667</v>
      </c>
      <c r="Z136">
        <f t="shared" si="48"/>
        <v>88.008260218018577</v>
      </c>
      <c r="AA136">
        <f t="shared" si="49"/>
        <v>5.8672173478679053</v>
      </c>
      <c r="AB136">
        <f t="shared" si="50"/>
        <v>12.265565304264189</v>
      </c>
    </row>
    <row r="137" spans="10:28" x14ac:dyDescent="0.3">
      <c r="J137">
        <v>132</v>
      </c>
      <c r="K137">
        <f t="shared" si="34"/>
        <v>-0.39794863130761032</v>
      </c>
      <c r="L137">
        <f t="shared" si="35"/>
        <v>139.95893223819303</v>
      </c>
      <c r="M137">
        <f t="shared" si="36"/>
        <v>2.442744185132105</v>
      </c>
      <c r="N137">
        <f t="shared" si="37"/>
        <v>-0.76558351700767502</v>
      </c>
      <c r="O137">
        <f t="shared" si="38"/>
        <v>0.3046629127448709</v>
      </c>
      <c r="P137">
        <f t="shared" si="39"/>
        <v>0.309584497082323</v>
      </c>
      <c r="Q137">
        <f t="shared" si="40"/>
        <v>17.737885085497254</v>
      </c>
      <c r="R137">
        <f t="shared" si="41"/>
        <v>0.31986942846841576</v>
      </c>
      <c r="S137">
        <f t="shared" si="42"/>
        <v>5.2946072255016845E-2</v>
      </c>
      <c r="T137">
        <f t="shared" si="43"/>
        <v>1.5178254861134355</v>
      </c>
      <c r="U137">
        <f t="shared" si="44"/>
        <v>86.9649943916924</v>
      </c>
      <c r="V137">
        <f t="shared" si="45"/>
        <v>5.7976662927794935</v>
      </c>
      <c r="X137">
        <f t="shared" si="46"/>
        <v>3.5322738684262694E-2</v>
      </c>
      <c r="Y137">
        <f t="shared" si="47"/>
        <v>1.5354662386442464</v>
      </c>
      <c r="Z137">
        <f t="shared" si="48"/>
        <v>87.975735059142579</v>
      </c>
      <c r="AA137">
        <f t="shared" si="49"/>
        <v>5.8650490039428389</v>
      </c>
      <c r="AB137">
        <f t="shared" si="50"/>
        <v>12.269901992114322</v>
      </c>
    </row>
    <row r="138" spans="10:28" x14ac:dyDescent="0.3">
      <c r="J138">
        <v>133</v>
      </c>
      <c r="K138">
        <f t="shared" si="34"/>
        <v>-0.39794863130761032</v>
      </c>
      <c r="L138">
        <f t="shared" si="35"/>
        <v>140.94455852156057</v>
      </c>
      <c r="M138">
        <f t="shared" si="36"/>
        <v>2.4599466089710633</v>
      </c>
      <c r="N138">
        <f t="shared" si="37"/>
        <v>-0.77653664444286552</v>
      </c>
      <c r="O138">
        <f t="shared" si="38"/>
        <v>0.30902169481624275</v>
      </c>
      <c r="P138">
        <f t="shared" si="39"/>
        <v>0.31416420769940695</v>
      </c>
      <c r="Q138">
        <f t="shared" si="40"/>
        <v>18.000283175247421</v>
      </c>
      <c r="R138">
        <f t="shared" si="41"/>
        <v>0.32492516035887059</v>
      </c>
      <c r="S138">
        <f t="shared" si="42"/>
        <v>5.3782917299120346E-2</v>
      </c>
      <c r="T138">
        <f t="shared" si="43"/>
        <v>1.5169874469227407</v>
      </c>
      <c r="U138">
        <f t="shared" si="44"/>
        <v>86.916978282999011</v>
      </c>
      <c r="V138">
        <f t="shared" si="45"/>
        <v>5.794465218866601</v>
      </c>
      <c r="X138">
        <f t="shared" si="46"/>
        <v>3.5881036166079919E-2</v>
      </c>
      <c r="Y138">
        <f t="shared" si="47"/>
        <v>1.5349075869989706</v>
      </c>
      <c r="Z138">
        <f t="shared" si="48"/>
        <v>87.943726677650247</v>
      </c>
      <c r="AA138">
        <f t="shared" si="49"/>
        <v>5.8629151118433498</v>
      </c>
      <c r="AB138">
        <f t="shared" si="50"/>
        <v>12.2741697763133</v>
      </c>
    </row>
    <row r="139" spans="10:28" x14ac:dyDescent="0.3">
      <c r="J139">
        <v>134</v>
      </c>
      <c r="K139">
        <f t="shared" si="34"/>
        <v>-0.39794863130761032</v>
      </c>
      <c r="L139">
        <f t="shared" si="35"/>
        <v>141.93018480492813</v>
      </c>
      <c r="M139">
        <f t="shared" si="36"/>
        <v>2.4771490328100216</v>
      </c>
      <c r="N139">
        <f t="shared" si="37"/>
        <v>-0.78725998219169224</v>
      </c>
      <c r="O139">
        <f t="shared" si="38"/>
        <v>0.31328903239643763</v>
      </c>
      <c r="P139">
        <f t="shared" si="39"/>
        <v>0.318654449867113</v>
      </c>
      <c r="Q139">
        <f t="shared" si="40"/>
        <v>18.257555100448652</v>
      </c>
      <c r="R139">
        <f t="shared" si="41"/>
        <v>0.32989675287931147</v>
      </c>
      <c r="S139">
        <f t="shared" si="42"/>
        <v>5.4605835256832443E-2</v>
      </c>
      <c r="T139">
        <f t="shared" si="43"/>
        <v>1.516163317805451</v>
      </c>
      <c r="U139">
        <f t="shared" si="44"/>
        <v>86.869759162804485</v>
      </c>
      <c r="V139">
        <f t="shared" si="45"/>
        <v>5.7913172775202986</v>
      </c>
      <c r="X139">
        <f t="shared" si="46"/>
        <v>3.6430042253610746E-2</v>
      </c>
      <c r="Y139">
        <f t="shared" si="47"/>
        <v>1.5343582217156142</v>
      </c>
      <c r="Z139">
        <f t="shared" si="48"/>
        <v>87.912250365502913</v>
      </c>
      <c r="AA139">
        <f t="shared" si="49"/>
        <v>5.860816691033528</v>
      </c>
      <c r="AB139">
        <f t="shared" si="50"/>
        <v>12.278366617932944</v>
      </c>
    </row>
    <row r="140" spans="10:28" x14ac:dyDescent="0.3">
      <c r="J140">
        <v>135</v>
      </c>
      <c r="K140">
        <f t="shared" si="34"/>
        <v>-0.39794863130761032</v>
      </c>
      <c r="L140">
        <f t="shared" si="35"/>
        <v>142.9158110882957</v>
      </c>
      <c r="M140">
        <f t="shared" si="36"/>
        <v>2.4943514566489804</v>
      </c>
      <c r="N140">
        <f t="shared" si="37"/>
        <v>-0.7977503570459934</v>
      </c>
      <c r="O140">
        <f t="shared" si="38"/>
        <v>0.31746366271161053</v>
      </c>
      <c r="P140">
        <f t="shared" si="39"/>
        <v>0.32305358725049238</v>
      </c>
      <c r="Q140">
        <f t="shared" si="40"/>
        <v>18.509607106014514</v>
      </c>
      <c r="R140">
        <f t="shared" si="41"/>
        <v>0.33478177755862859</v>
      </c>
      <c r="S140">
        <f t="shared" si="42"/>
        <v>5.5414424157863365E-2</v>
      </c>
      <c r="T140">
        <f t="shared" si="43"/>
        <v>1.5153535026571181</v>
      </c>
      <c r="U140">
        <f t="shared" si="44"/>
        <v>86.823360172619246</v>
      </c>
      <c r="V140">
        <f t="shared" si="45"/>
        <v>5.7882240115079497</v>
      </c>
      <c r="X140">
        <f t="shared" si="46"/>
        <v>3.6969488774148518E-2</v>
      </c>
      <c r="Y140">
        <f t="shared" si="47"/>
        <v>1.5338184115381919</v>
      </c>
      <c r="Z140">
        <f t="shared" si="48"/>
        <v>87.881321520598405</v>
      </c>
      <c r="AA140">
        <f t="shared" si="49"/>
        <v>5.8587547680398933</v>
      </c>
      <c r="AB140">
        <f t="shared" si="50"/>
        <v>12.282490463920213</v>
      </c>
    </row>
    <row r="141" spans="10:28" x14ac:dyDescent="0.3">
      <c r="J141">
        <v>136</v>
      </c>
      <c r="K141">
        <f t="shared" si="34"/>
        <v>-0.39794863130761032</v>
      </c>
      <c r="L141">
        <f t="shared" si="35"/>
        <v>143.90143737166323</v>
      </c>
      <c r="M141">
        <f t="shared" si="36"/>
        <v>2.5115538804879383</v>
      </c>
      <c r="N141">
        <f t="shared" si="37"/>
        <v>-0.80800466473507515</v>
      </c>
      <c r="O141">
        <f t="shared" si="38"/>
        <v>0.32154435042148771</v>
      </c>
      <c r="P141">
        <f t="shared" si="39"/>
        <v>0.32736000014454475</v>
      </c>
      <c r="Q141">
        <f t="shared" si="40"/>
        <v>18.756346389684435</v>
      </c>
      <c r="R141">
        <f t="shared" si="41"/>
        <v>0.33957779231156365</v>
      </c>
      <c r="S141">
        <f t="shared" si="42"/>
        <v>5.6208279778454814E-2</v>
      </c>
      <c r="T141">
        <f t="shared" si="43"/>
        <v>1.5145584077262133</v>
      </c>
      <c r="U141">
        <f t="shared" si="44"/>
        <v>86.777804588766145</v>
      </c>
      <c r="V141">
        <f t="shared" si="45"/>
        <v>5.7851869725844098</v>
      </c>
      <c r="X141">
        <f t="shared" si="46"/>
        <v>3.7499106051594969E-2</v>
      </c>
      <c r="Y141">
        <f t="shared" si="47"/>
        <v>1.5332884267435192</v>
      </c>
      <c r="Z141">
        <f t="shared" si="48"/>
        <v>87.850955628657545</v>
      </c>
      <c r="AA141">
        <f t="shared" si="49"/>
        <v>5.8567303752438367</v>
      </c>
      <c r="AB141">
        <f t="shared" si="50"/>
        <v>12.286539249512327</v>
      </c>
    </row>
    <row r="142" spans="10:28" x14ac:dyDescent="0.3">
      <c r="J142">
        <v>137</v>
      </c>
      <c r="K142">
        <f t="shared" si="34"/>
        <v>-0.39794863130761032</v>
      </c>
      <c r="L142">
        <f t="shared" si="35"/>
        <v>144.8870636550308</v>
      </c>
      <c r="M142">
        <f t="shared" si="36"/>
        <v>2.528756304326897</v>
      </c>
      <c r="N142">
        <f t="shared" si="37"/>
        <v>-0.81801987084431715</v>
      </c>
      <c r="O142">
        <f t="shared" si="38"/>
        <v>0.32552988798492416</v>
      </c>
      <c r="P142">
        <f t="shared" si="39"/>
        <v>0.33157208674847161</v>
      </c>
      <c r="Q142">
        <f t="shared" si="40"/>
        <v>18.997681175033033</v>
      </c>
      <c r="R142">
        <f t="shared" si="41"/>
        <v>0.34428234447187894</v>
      </c>
      <c r="S142">
        <f t="shared" si="42"/>
        <v>5.6986996143442298E-2</v>
      </c>
      <c r="T142">
        <f t="shared" si="43"/>
        <v>1.5137784411086224</v>
      </c>
      <c r="U142">
        <f t="shared" si="44"/>
        <v>86.733115793417113</v>
      </c>
      <c r="V142">
        <f t="shared" si="45"/>
        <v>5.782207719561141</v>
      </c>
      <c r="X142">
        <f t="shared" si="46"/>
        <v>3.8018623241408901E-2</v>
      </c>
      <c r="Y142">
        <f t="shared" si="47"/>
        <v>1.532768538805239</v>
      </c>
      <c r="Z142">
        <f t="shared" si="48"/>
        <v>87.821168243974341</v>
      </c>
      <c r="AA142">
        <f t="shared" si="49"/>
        <v>5.8547445495982897</v>
      </c>
      <c r="AB142">
        <f t="shared" si="50"/>
        <v>12.290510900803421</v>
      </c>
    </row>
    <row r="143" spans="10:28" x14ac:dyDescent="0.3">
      <c r="J143">
        <v>138</v>
      </c>
      <c r="K143">
        <f t="shared" si="34"/>
        <v>-0.39794863130761032</v>
      </c>
      <c r="L143">
        <f t="shared" si="35"/>
        <v>145.87268993839837</v>
      </c>
      <c r="M143">
        <f t="shared" si="36"/>
        <v>2.5459587281658558</v>
      </c>
      <c r="N143">
        <f t="shared" si="37"/>
        <v>-0.82779301171310216</v>
      </c>
      <c r="O143">
        <f t="shared" si="38"/>
        <v>0.32941909601723363</v>
      </c>
      <c r="P143">
        <f t="shared" si="39"/>
        <v>0.33568826447393363</v>
      </c>
      <c r="Q143">
        <f t="shared" si="40"/>
        <v>19.233520786427768</v>
      </c>
      <c r="R143">
        <f t="shared" si="41"/>
        <v>0.34889297400091485</v>
      </c>
      <c r="S143">
        <f t="shared" si="42"/>
        <v>5.7750166057348444E-2</v>
      </c>
      <c r="T143">
        <f t="shared" si="43"/>
        <v>1.5130140122125895</v>
      </c>
      <c r="U143">
        <f t="shared" si="44"/>
        <v>86.689317243936571</v>
      </c>
      <c r="V143">
        <f t="shared" si="45"/>
        <v>5.7792878162624381</v>
      </c>
      <c r="X143">
        <f t="shared" si="46"/>
        <v>3.8527768684922775E-2</v>
      </c>
      <c r="Y143">
        <f t="shared" si="47"/>
        <v>1.532259020038325</v>
      </c>
      <c r="Z143">
        <f t="shared" si="48"/>
        <v>87.791974969047459</v>
      </c>
      <c r="AA143">
        <f t="shared" si="49"/>
        <v>5.8527983312698302</v>
      </c>
      <c r="AB143">
        <f t="shared" si="50"/>
        <v>12.29440333746034</v>
      </c>
    </row>
    <row r="144" spans="10:28" x14ac:dyDescent="0.3">
      <c r="J144">
        <v>139</v>
      </c>
      <c r="K144">
        <f t="shared" si="34"/>
        <v>-0.39794863130761032</v>
      </c>
      <c r="L144">
        <f t="shared" si="35"/>
        <v>146.8583162217659</v>
      </c>
      <c r="M144">
        <f t="shared" si="36"/>
        <v>2.5631611520048141</v>
      </c>
      <c r="N144">
        <f t="shared" si="37"/>
        <v>-0.83732119531181215</v>
      </c>
      <c r="O144">
        <f t="shared" si="38"/>
        <v>0.33321082363918791</v>
      </c>
      <c r="P144">
        <f t="shared" si="39"/>
        <v>0.33970697128520422</v>
      </c>
      <c r="Q144">
        <f t="shared" si="40"/>
        <v>19.463775725814049</v>
      </c>
      <c r="R144">
        <f t="shared" si="41"/>
        <v>0.35340721686765136</v>
      </c>
      <c r="S144">
        <f t="shared" si="42"/>
        <v>5.849738166386436E-2</v>
      </c>
      <c r="T144">
        <f t="shared" si="43"/>
        <v>1.5122655311947433</v>
      </c>
      <c r="U144">
        <f t="shared" si="44"/>
        <v>86.646432440568333</v>
      </c>
      <c r="V144">
        <f t="shared" si="45"/>
        <v>5.7764288293712225</v>
      </c>
      <c r="X144">
        <f t="shared" si="46"/>
        <v>3.9026270282598204E-2</v>
      </c>
      <c r="Y144">
        <f t="shared" si="47"/>
        <v>1.5317601432244901</v>
      </c>
      <c r="Z144">
        <f t="shared" si="48"/>
        <v>87.763391433117789</v>
      </c>
      <c r="AA144">
        <f t="shared" si="49"/>
        <v>5.8508927622078524</v>
      </c>
      <c r="AB144">
        <f t="shared" si="50"/>
        <v>12.298214475584295</v>
      </c>
    </row>
    <row r="145" spans="10:28" x14ac:dyDescent="0.3">
      <c r="J145">
        <v>140</v>
      </c>
      <c r="K145">
        <f t="shared" si="34"/>
        <v>-0.39794863130761032</v>
      </c>
      <c r="L145">
        <f t="shared" si="35"/>
        <v>147.84394250513347</v>
      </c>
      <c r="M145">
        <f t="shared" si="36"/>
        <v>2.5803635758437724</v>
      </c>
      <c r="N145">
        <f t="shared" si="37"/>
        <v>-0.84660160209762669</v>
      </c>
      <c r="O145">
        <f t="shared" si="38"/>
        <v>0.33690394881758068</v>
      </c>
      <c r="P145">
        <f t="shared" si="39"/>
        <v>0.34362666706889167</v>
      </c>
      <c r="Q145">
        <f t="shared" si="40"/>
        <v>19.688357751194562</v>
      </c>
      <c r="R145">
        <f t="shared" si="41"/>
        <v>0.35782260859533171</v>
      </c>
      <c r="S145">
        <f t="shared" si="42"/>
        <v>5.9228235032901005E-2</v>
      </c>
      <c r="T145">
        <f t="shared" si="43"/>
        <v>1.5115334083680176</v>
      </c>
      <c r="U145">
        <f t="shared" si="44"/>
        <v>86.604484892511749</v>
      </c>
      <c r="V145">
        <f t="shared" si="45"/>
        <v>5.7736323261674496</v>
      </c>
      <c r="X145">
        <f t="shared" si="46"/>
        <v>3.9513855885674701E-2</v>
      </c>
      <c r="Y145">
        <f t="shared" si="47"/>
        <v>1.5312721812190435</v>
      </c>
      <c r="Z145">
        <f t="shared" si="48"/>
        <v>87.735433269642954</v>
      </c>
      <c r="AA145">
        <f t="shared" si="49"/>
        <v>5.8490288846428635</v>
      </c>
      <c r="AB145">
        <f t="shared" si="50"/>
        <v>12.301942230714273</v>
      </c>
    </row>
    <row r="146" spans="10:28" x14ac:dyDescent="0.3">
      <c r="J146">
        <v>141</v>
      </c>
      <c r="K146">
        <f t="shared" si="34"/>
        <v>-0.39794863130761032</v>
      </c>
      <c r="L146">
        <f t="shared" si="35"/>
        <v>148.82956878850104</v>
      </c>
      <c r="M146">
        <f t="shared" si="36"/>
        <v>2.5975659996827312</v>
      </c>
      <c r="N146">
        <f t="shared" si="37"/>
        <v>-0.85563148584887061</v>
      </c>
      <c r="O146">
        <f t="shared" si="38"/>
        <v>0.34049737869725499</v>
      </c>
      <c r="P146">
        <f t="shared" si="39"/>
        <v>0.34744583503068593</v>
      </c>
      <c r="Q146">
        <f t="shared" si="40"/>
        <v>19.907179956656957</v>
      </c>
      <c r="R146">
        <f t="shared" si="41"/>
        <v>0.36213668796861881</v>
      </c>
      <c r="S146">
        <f t="shared" si="42"/>
        <v>5.9942318774212626E-2</v>
      </c>
      <c r="T146">
        <f t="shared" si="43"/>
        <v>1.5108180535824638</v>
      </c>
      <c r="U146">
        <f t="shared" si="44"/>
        <v>86.563498082445051</v>
      </c>
      <c r="V146">
        <f t="shared" si="45"/>
        <v>5.7708998721630032</v>
      </c>
      <c r="X146">
        <f t="shared" si="46"/>
        <v>3.9990253705545868E-2</v>
      </c>
      <c r="Y146">
        <f t="shared" si="47"/>
        <v>1.5307954065398621</v>
      </c>
      <c r="Z146">
        <f t="shared" si="48"/>
        <v>87.708116092747147</v>
      </c>
      <c r="AA146">
        <f t="shared" si="49"/>
        <v>5.8472077395164765</v>
      </c>
      <c r="AB146">
        <f t="shared" si="50"/>
        <v>12.305584520967047</v>
      </c>
    </row>
    <row r="147" spans="10:28" x14ac:dyDescent="0.3">
      <c r="J147">
        <v>142</v>
      </c>
      <c r="K147">
        <f t="shared" si="34"/>
        <v>-0.39794863130761032</v>
      </c>
      <c r="L147">
        <f t="shared" si="35"/>
        <v>149.81519507186857</v>
      </c>
      <c r="M147">
        <f t="shared" si="36"/>
        <v>2.6147684235216895</v>
      </c>
      <c r="N147">
        <f t="shared" si="37"/>
        <v>-0.86440817447766483</v>
      </c>
      <c r="O147">
        <f t="shared" si="38"/>
        <v>0.34399004992449672</v>
      </c>
      <c r="P147">
        <f t="shared" si="39"/>
        <v>0.35116298311637612</v>
      </c>
      <c r="Q147">
        <f t="shared" si="40"/>
        <v>20.120156853792135</v>
      </c>
      <c r="R147">
        <f t="shared" si="41"/>
        <v>0.36634700089413885</v>
      </c>
      <c r="S147">
        <f t="shared" si="42"/>
        <v>6.0639226676409433E-2</v>
      </c>
      <c r="T147">
        <f t="shared" si="43"/>
        <v>1.5101198755801368</v>
      </c>
      <c r="U147">
        <f t="shared" si="44"/>
        <v>86.523495429562843</v>
      </c>
      <c r="V147">
        <f t="shared" si="45"/>
        <v>5.768233028637523</v>
      </c>
      <c r="X147">
        <f t="shared" si="46"/>
        <v>4.045519274007383E-2</v>
      </c>
      <c r="Y147">
        <f t="shared" si="47"/>
        <v>1.5303300909392654</v>
      </c>
      <c r="Z147">
        <f t="shared" si="48"/>
        <v>87.681455472691368</v>
      </c>
      <c r="AA147">
        <f t="shared" si="49"/>
        <v>5.8454303648460915</v>
      </c>
      <c r="AB147">
        <f t="shared" si="50"/>
        <v>12.309139270307817</v>
      </c>
    </row>
    <row r="148" spans="10:28" x14ac:dyDescent="0.3">
      <c r="J148">
        <v>143</v>
      </c>
      <c r="K148">
        <f t="shared" si="34"/>
        <v>-0.39794863130761032</v>
      </c>
      <c r="L148">
        <f t="shared" si="35"/>
        <v>150.80082135523614</v>
      </c>
      <c r="M148">
        <f t="shared" si="36"/>
        <v>2.6319708473606478</v>
      </c>
      <c r="N148">
        <f t="shared" si="37"/>
        <v>-0.87292907082064086</v>
      </c>
      <c r="O148">
        <f t="shared" si="38"/>
        <v>0.34738092896169809</v>
      </c>
      <c r="P148">
        <f t="shared" si="39"/>
        <v>0.35477664545416582</v>
      </c>
      <c r="Q148">
        <f t="shared" si="40"/>
        <v>20.327204454332865</v>
      </c>
      <c r="R148">
        <f t="shared" si="41"/>
        <v>0.37045110440611984</v>
      </c>
      <c r="S148">
        <f t="shared" si="42"/>
        <v>6.1318554369986969E-2</v>
      </c>
      <c r="T148">
        <f t="shared" si="43"/>
        <v>1.5094392813254376</v>
      </c>
      <c r="U148">
        <f t="shared" si="44"/>
        <v>86.484500251207706</v>
      </c>
      <c r="V148">
        <f t="shared" si="45"/>
        <v>5.7656333500805141</v>
      </c>
      <c r="X148">
        <f t="shared" si="46"/>
        <v>4.0908403215926432E-2</v>
      </c>
      <c r="Y148">
        <f t="shared" si="47"/>
        <v>1.5298765049597121</v>
      </c>
      <c r="Z148">
        <f t="shared" si="48"/>
        <v>87.655466910416663</v>
      </c>
      <c r="AA148">
        <f t="shared" si="49"/>
        <v>5.8436977940277774</v>
      </c>
      <c r="AB148">
        <f t="shared" si="50"/>
        <v>12.312604411944445</v>
      </c>
    </row>
    <row r="149" spans="10:28" x14ac:dyDescent="0.3">
      <c r="J149">
        <v>144</v>
      </c>
      <c r="K149">
        <f t="shared" si="34"/>
        <v>-0.39794863130761032</v>
      </c>
      <c r="L149">
        <f t="shared" si="35"/>
        <v>151.7864476386037</v>
      </c>
      <c r="M149">
        <f t="shared" si="36"/>
        <v>2.649173271199607</v>
      </c>
      <c r="N149">
        <f t="shared" si="37"/>
        <v>-0.88119165340748318</v>
      </c>
      <c r="O149">
        <f t="shared" si="38"/>
        <v>0.35066901239319809</v>
      </c>
      <c r="P149">
        <f t="shared" si="39"/>
        <v>0.35828538381511116</v>
      </c>
      <c r="Q149">
        <f t="shared" si="40"/>
        <v>20.528240353830686</v>
      </c>
      <c r="R149">
        <f t="shared" si="41"/>
        <v>0.37444657080767912</v>
      </c>
      <c r="S149">
        <f t="shared" si="42"/>
        <v>6.1979900012808654E-2</v>
      </c>
      <c r="T149">
        <f t="shared" si="43"/>
        <v>1.5087766753124792</v>
      </c>
      <c r="U149">
        <f t="shared" si="44"/>
        <v>86.446535723185207</v>
      </c>
      <c r="V149">
        <f t="shared" si="45"/>
        <v>5.7631023815456803</v>
      </c>
      <c r="X149">
        <f t="shared" si="46"/>
        <v>4.1349617045893822E-2</v>
      </c>
      <c r="Y149">
        <f t="shared" si="47"/>
        <v>1.529434917474362</v>
      </c>
      <c r="Z149">
        <f t="shared" si="48"/>
        <v>87.630165811220294</v>
      </c>
      <c r="AA149">
        <f t="shared" si="49"/>
        <v>5.842011054081353</v>
      </c>
      <c r="AB149">
        <f t="shared" si="50"/>
        <v>12.315977891837294</v>
      </c>
    </row>
    <row r="150" spans="10:28" x14ac:dyDescent="0.3">
      <c r="J150">
        <v>145</v>
      </c>
      <c r="K150">
        <f t="shared" si="34"/>
        <v>-0.39794863130761032</v>
      </c>
      <c r="L150">
        <f t="shared" si="35"/>
        <v>152.77207392197124</v>
      </c>
      <c r="M150">
        <f t="shared" si="36"/>
        <v>2.6663756950385649</v>
      </c>
      <c r="N150">
        <f t="shared" si="37"/>
        <v>-0.88919347720707109</v>
      </c>
      <c r="O150">
        <f t="shared" si="38"/>
        <v>0.35385332722220875</v>
      </c>
      <c r="P150">
        <f t="shared" si="39"/>
        <v>0.3616877890882973</v>
      </c>
      <c r="Q150">
        <f t="shared" si="40"/>
        <v>20.723183816177304</v>
      </c>
      <c r="R150">
        <f t="shared" si="41"/>
        <v>0.37833099193714598</v>
      </c>
      <c r="S150">
        <f t="shared" si="42"/>
        <v>6.2622864996284638E-2</v>
      </c>
      <c r="T150">
        <f t="shared" si="43"/>
        <v>1.5081324588512528</v>
      </c>
      <c r="U150">
        <f t="shared" si="44"/>
        <v>86.409624838864076</v>
      </c>
      <c r="V150">
        <f t="shared" si="45"/>
        <v>5.7606416559242719</v>
      </c>
      <c r="X150">
        <f t="shared" si="46"/>
        <v>4.1778568300012607E-2</v>
      </c>
      <c r="Y150">
        <f t="shared" si="47"/>
        <v>1.5290055952136841</v>
      </c>
      <c r="Z150">
        <f t="shared" si="48"/>
        <v>87.605567457632432</v>
      </c>
      <c r="AA150">
        <f t="shared" si="49"/>
        <v>5.8403711638421623</v>
      </c>
      <c r="AB150">
        <f t="shared" si="50"/>
        <v>12.319257672315675</v>
      </c>
    </row>
    <row r="151" spans="10:28" x14ac:dyDescent="0.3">
      <c r="J151">
        <v>146</v>
      </c>
      <c r="K151">
        <f t="shared" si="34"/>
        <v>-0.39794863130761032</v>
      </c>
      <c r="L151">
        <f t="shared" si="35"/>
        <v>153.75770020533881</v>
      </c>
      <c r="M151">
        <f t="shared" si="36"/>
        <v>2.6835781188775236</v>
      </c>
      <c r="N151">
        <f t="shared" si="37"/>
        <v>-0.89693217435100647</v>
      </c>
      <c r="O151">
        <f t="shared" si="38"/>
        <v>0.35693293115874192</v>
      </c>
      <c r="P151">
        <f t="shared" si="39"/>
        <v>0.36498248276718243</v>
      </c>
      <c r="Q151">
        <f t="shared" si="40"/>
        <v>20.911955858765854</v>
      </c>
      <c r="R151">
        <f t="shared" si="41"/>
        <v>0.38210198354765512</v>
      </c>
      <c r="S151">
        <f t="shared" si="42"/>
        <v>6.3247054670299688E-2</v>
      </c>
      <c r="T151">
        <f t="shared" si="43"/>
        <v>1.507507029334558</v>
      </c>
      <c r="U151">
        <f t="shared" si="44"/>
        <v>86.373790367174564</v>
      </c>
      <c r="V151">
        <f t="shared" si="45"/>
        <v>5.7582526911449712</v>
      </c>
      <c r="X151">
        <f t="shared" si="46"/>
        <v>4.2194993689198289E-2</v>
      </c>
      <c r="Y151">
        <f t="shared" si="47"/>
        <v>1.528588802279411</v>
      </c>
      <c r="Z151">
        <f t="shared" si="48"/>
        <v>87.581686981567728</v>
      </c>
      <c r="AA151">
        <f t="shared" si="49"/>
        <v>5.8387791321045155</v>
      </c>
      <c r="AB151">
        <f t="shared" si="50"/>
        <v>12.322441735790969</v>
      </c>
    </row>
    <row r="152" spans="10:28" x14ac:dyDescent="0.3">
      <c r="J152">
        <v>147</v>
      </c>
      <c r="K152">
        <f t="shared" si="34"/>
        <v>-0.39794863130761032</v>
      </c>
      <c r="L152">
        <f t="shared" si="35"/>
        <v>154.74332648870637</v>
      </c>
      <c r="M152">
        <f t="shared" si="36"/>
        <v>2.7007805427164819</v>
      </c>
      <c r="N152">
        <f t="shared" si="37"/>
        <v>-0.90440545483430013</v>
      </c>
      <c r="O152">
        <f t="shared" si="38"/>
        <v>0.35990691289844651</v>
      </c>
      <c r="P152">
        <f t="shared" si="39"/>
        <v>0.36816811844333935</v>
      </c>
      <c r="Q152">
        <f t="shared" si="40"/>
        <v>21.094479338075949</v>
      </c>
      <c r="R152">
        <f t="shared" si="41"/>
        <v>0.38575718978708951</v>
      </c>
      <c r="S152">
        <f t="shared" si="42"/>
        <v>6.3852079084751309E-2</v>
      </c>
      <c r="T152">
        <f t="shared" si="43"/>
        <v>1.5069007794878582</v>
      </c>
      <c r="U152">
        <f t="shared" si="44"/>
        <v>86.339054809628195</v>
      </c>
      <c r="V152">
        <f t="shared" si="45"/>
        <v>5.7559369873085462</v>
      </c>
      <c r="X152">
        <f t="shared" si="46"/>
        <v>4.2598633059959146E-2</v>
      </c>
      <c r="Y152">
        <f t="shared" si="47"/>
        <v>1.5281847996472764</v>
      </c>
      <c r="Z152">
        <f t="shared" si="48"/>
        <v>87.55853933583424</v>
      </c>
      <c r="AA152">
        <f t="shared" si="49"/>
        <v>5.8372359557222824</v>
      </c>
      <c r="AB152">
        <f t="shared" si="50"/>
        <v>12.325528088555435</v>
      </c>
    </row>
    <row r="153" spans="10:28" x14ac:dyDescent="0.3">
      <c r="J153">
        <v>148</v>
      </c>
      <c r="K153">
        <f t="shared" si="34"/>
        <v>-0.39794863130761032</v>
      </c>
      <c r="L153">
        <f t="shared" si="35"/>
        <v>155.72895277207391</v>
      </c>
      <c r="M153">
        <f t="shared" si="36"/>
        <v>2.7179829665554402</v>
      </c>
      <c r="N153">
        <f t="shared" si="37"/>
        <v>-0.91161110719302363</v>
      </c>
      <c r="O153">
        <f t="shared" si="38"/>
        <v>0.36277439239227899</v>
      </c>
      <c r="P153">
        <f t="shared" si="39"/>
        <v>0.3712433833036648</v>
      </c>
      <c r="Q153">
        <f t="shared" si="40"/>
        <v>21.270679035457484</v>
      </c>
      <c r="R153">
        <f t="shared" si="41"/>
        <v>0.3892942877643496</v>
      </c>
      <c r="S153">
        <f t="shared" si="42"/>
        <v>6.4437553745377033E-2</v>
      </c>
      <c r="T153">
        <f t="shared" si="43"/>
        <v>1.5063140966044126</v>
      </c>
      <c r="U153">
        <f t="shared" si="44"/>
        <v>86.305440356494216</v>
      </c>
      <c r="V153">
        <f t="shared" si="45"/>
        <v>5.7536960237662811</v>
      </c>
      <c r="X153">
        <f t="shared" si="46"/>
        <v>4.298922989864306E-2</v>
      </c>
      <c r="Y153">
        <f t="shared" si="47"/>
        <v>1.5277938446600907</v>
      </c>
      <c r="Z153">
        <f t="shared" si="48"/>
        <v>87.536139265088906</v>
      </c>
      <c r="AA153">
        <f t="shared" si="49"/>
        <v>5.8357426176725937</v>
      </c>
      <c r="AB153">
        <f t="shared" si="50"/>
        <v>12.328514764654813</v>
      </c>
    </row>
    <row r="154" spans="10:28" x14ac:dyDescent="0.3">
      <c r="J154">
        <v>149</v>
      </c>
      <c r="K154">
        <f t="shared" si="34"/>
        <v>-0.39794863130761032</v>
      </c>
      <c r="L154">
        <f t="shared" si="35"/>
        <v>156.71457905544148</v>
      </c>
      <c r="M154">
        <f t="shared" si="36"/>
        <v>2.735185390394399</v>
      </c>
      <c r="N154">
        <f t="shared" si="37"/>
        <v>-0.91854699915871652</v>
      </c>
      <c r="O154">
        <f t="shared" si="38"/>
        <v>0.36553452110692392</v>
      </c>
      <c r="P154">
        <f t="shared" si="39"/>
        <v>0.37420699962695059</v>
      </c>
      <c r="Q154">
        <f t="shared" si="40"/>
        <v>21.440481742877839</v>
      </c>
      <c r="R154">
        <f t="shared" si="41"/>
        <v>0.39271099218683131</v>
      </c>
      <c r="S154">
        <f t="shared" si="42"/>
        <v>6.5003100381368265E-2</v>
      </c>
      <c r="T154">
        <f t="shared" si="43"/>
        <v>1.5057473617682202</v>
      </c>
      <c r="U154">
        <f t="shared" si="44"/>
        <v>86.272968842277351</v>
      </c>
      <c r="V154">
        <f t="shared" si="45"/>
        <v>5.7515312561518233</v>
      </c>
      <c r="X154">
        <f t="shared" si="46"/>
        <v>4.3366531843547752E-2</v>
      </c>
      <c r="Y154">
        <f t="shared" si="47"/>
        <v>1.5274161905128363</v>
      </c>
      <c r="Z154">
        <f t="shared" si="48"/>
        <v>87.514501276335608</v>
      </c>
      <c r="AA154">
        <f t="shared" si="49"/>
        <v>5.8343000850890405</v>
      </c>
      <c r="AB154">
        <f t="shared" si="50"/>
        <v>12.331399829821919</v>
      </c>
    </row>
    <row r="155" spans="10:28" x14ac:dyDescent="0.3">
      <c r="J155">
        <v>150</v>
      </c>
      <c r="K155">
        <f t="shared" si="34"/>
        <v>-0.39794863130761032</v>
      </c>
      <c r="L155">
        <f t="shared" si="35"/>
        <v>157.70020533880904</v>
      </c>
      <c r="M155">
        <f t="shared" si="36"/>
        <v>2.7523878142333573</v>
      </c>
      <c r="N155">
        <f t="shared" si="37"/>
        <v>-0.925211078289358</v>
      </c>
      <c r="O155">
        <f t="shared" si="38"/>
        <v>0.36818648227588829</v>
      </c>
      <c r="P155">
        <f t="shared" si="39"/>
        <v>0.37705772627557199</v>
      </c>
      <c r="Q155">
        <f t="shared" si="40"/>
        <v>21.603816348389319</v>
      </c>
      <c r="R155">
        <f t="shared" si="41"/>
        <v>0.39600506005297414</v>
      </c>
      <c r="S155">
        <f t="shared" si="42"/>
        <v>6.5548347722099831E-2</v>
      </c>
      <c r="T155">
        <f t="shared" si="43"/>
        <v>1.5052009490674805</v>
      </c>
      <c r="U155">
        <f t="shared" si="44"/>
        <v>86.241661700652628</v>
      </c>
      <c r="V155">
        <f t="shared" si="45"/>
        <v>5.7494441133768417</v>
      </c>
      <c r="X155">
        <f t="shared" si="46"/>
        <v>4.3730291203112427E-2</v>
      </c>
      <c r="Y155">
        <f t="shared" si="47"/>
        <v>1.5270520857315726</v>
      </c>
      <c r="Z155">
        <f t="shared" si="48"/>
        <v>87.493639609068666</v>
      </c>
      <c r="AA155">
        <f t="shared" si="49"/>
        <v>5.8329093072712448</v>
      </c>
      <c r="AB155">
        <f t="shared" si="50"/>
        <v>12.33418138545751</v>
      </c>
    </row>
    <row r="156" spans="10:28" x14ac:dyDescent="0.3">
      <c r="J156">
        <v>151</v>
      </c>
      <c r="K156">
        <f t="shared" si="34"/>
        <v>-0.39794863130761032</v>
      </c>
      <c r="L156">
        <f t="shared" si="35"/>
        <v>158.68583162217658</v>
      </c>
      <c r="M156">
        <f t="shared" si="36"/>
        <v>2.7695902380723156</v>
      </c>
      <c r="N156">
        <f t="shared" si="37"/>
        <v>-0.93160137257671871</v>
      </c>
      <c r="O156">
        <f t="shared" si="38"/>
        <v>0.37072949114119635</v>
      </c>
      <c r="P156">
        <f t="shared" si="39"/>
        <v>0.37979436017791263</v>
      </c>
      <c r="Q156">
        <f t="shared" si="40"/>
        <v>21.760613921065854</v>
      </c>
      <c r="R156">
        <f t="shared" si="41"/>
        <v>0.39917429538276822</v>
      </c>
      <c r="S156">
        <f t="shared" si="42"/>
        <v>6.6072932280142382E-2</v>
      </c>
      <c r="T156">
        <f t="shared" si="43"/>
        <v>1.5046752248014541</v>
      </c>
      <c r="U156">
        <f t="shared" si="44"/>
        <v>86.211539919021703</v>
      </c>
      <c r="V156">
        <f t="shared" si="45"/>
        <v>5.7474359946014468</v>
      </c>
      <c r="X156">
        <f t="shared" si="46"/>
        <v>4.4080265478301107E-2</v>
      </c>
      <c r="Y156">
        <f t="shared" si="47"/>
        <v>1.5267017736480561</v>
      </c>
      <c r="Z156">
        <f t="shared" si="48"/>
        <v>87.47356820517075</v>
      </c>
      <c r="AA156">
        <f t="shared" si="49"/>
        <v>5.8315712136780498</v>
      </c>
      <c r="AB156">
        <f t="shared" si="50"/>
        <v>12.3368575726439</v>
      </c>
    </row>
    <row r="157" spans="10:28" x14ac:dyDescent="0.3">
      <c r="J157">
        <v>152</v>
      </c>
      <c r="K157">
        <f t="shared" si="34"/>
        <v>-0.39794863130761032</v>
      </c>
      <c r="L157">
        <f t="shared" si="35"/>
        <v>159.67145790554414</v>
      </c>
      <c r="M157">
        <f t="shared" si="36"/>
        <v>2.7867926619112744</v>
      </c>
      <c r="N157">
        <f t="shared" si="37"/>
        <v>-0.93771599102990932</v>
      </c>
      <c r="O157">
        <f t="shared" si="38"/>
        <v>0.3731627951856118</v>
      </c>
      <c r="P157">
        <f t="shared" si="39"/>
        <v>0.38241573779703358</v>
      </c>
      <c r="Q157">
        <f t="shared" si="40"/>
        <v>21.910807795151538</v>
      </c>
      <c r="R157">
        <f t="shared" si="41"/>
        <v>0.40221655396821671</v>
      </c>
      <c r="S157">
        <f t="shared" si="42"/>
        <v>6.6576499137578113E-2</v>
      </c>
      <c r="T157">
        <f t="shared" si="43"/>
        <v>1.5041705466837394</v>
      </c>
      <c r="U157">
        <f t="shared" si="44"/>
        <v>86.182623992864038</v>
      </c>
      <c r="V157">
        <f t="shared" si="45"/>
        <v>5.745508266190936</v>
      </c>
      <c r="X157">
        <f t="shared" si="46"/>
        <v>4.44162178871896E-2</v>
      </c>
      <c r="Y157">
        <f t="shared" si="47"/>
        <v>1.5263654918720762</v>
      </c>
      <c r="Z157">
        <f t="shared" si="48"/>
        <v>87.454300678679914</v>
      </c>
      <c r="AA157">
        <f t="shared" si="49"/>
        <v>5.8302867119119943</v>
      </c>
      <c r="AB157">
        <f t="shared" si="50"/>
        <v>12.339426576176011</v>
      </c>
    </row>
    <row r="158" spans="10:28" x14ac:dyDescent="0.3">
      <c r="J158">
        <v>153</v>
      </c>
      <c r="K158">
        <f t="shared" si="34"/>
        <v>-0.39794863130761032</v>
      </c>
      <c r="L158">
        <f t="shared" si="35"/>
        <v>160.65708418891171</v>
      </c>
      <c r="M158">
        <f t="shared" si="36"/>
        <v>2.8039950857502332</v>
      </c>
      <c r="N158">
        <f t="shared" si="37"/>
        <v>-0.94355312423495452</v>
      </c>
      <c r="O158">
        <f t="shared" si="38"/>
        <v>0.37548567435531977</v>
      </c>
      <c r="P158">
        <f t="shared" si="39"/>
        <v>0.3849207365809999</v>
      </c>
      <c r="Q158">
        <f t="shared" si="40"/>
        <v>22.054333653158213</v>
      </c>
      <c r="R158">
        <f t="shared" si="41"/>
        <v>0.40512974812494051</v>
      </c>
      <c r="S158">
        <f t="shared" si="42"/>
        <v>6.7058702732505346E-2</v>
      </c>
      <c r="T158">
        <f t="shared" si="43"/>
        <v>1.503687263045141</v>
      </c>
      <c r="U158">
        <f t="shared" si="44"/>
        <v>86.154933880064632</v>
      </c>
      <c r="V158">
        <f t="shared" si="45"/>
        <v>5.7436622586709758</v>
      </c>
      <c r="X158">
        <f t="shared" si="46"/>
        <v>4.4737917889678701E-2</v>
      </c>
      <c r="Y158">
        <f t="shared" si="47"/>
        <v>1.5260434717635976</v>
      </c>
      <c r="Z158">
        <f t="shared" si="48"/>
        <v>87.435850285545769</v>
      </c>
      <c r="AA158">
        <f t="shared" si="49"/>
        <v>5.8290566857030512</v>
      </c>
      <c r="AB158">
        <f t="shared" si="50"/>
        <v>12.341886628593898</v>
      </c>
    </row>
    <row r="159" spans="10:28" x14ac:dyDescent="0.3">
      <c r="J159">
        <v>154</v>
      </c>
      <c r="K159">
        <f t="shared" si="34"/>
        <v>-0.39794863130761032</v>
      </c>
      <c r="L159">
        <f t="shared" si="35"/>
        <v>161.64271047227925</v>
      </c>
      <c r="M159">
        <f t="shared" si="36"/>
        <v>2.821197509589191</v>
      </c>
      <c r="N159">
        <f t="shared" si="37"/>
        <v>-0.94911104489022835</v>
      </c>
      <c r="O159">
        <f t="shared" si="38"/>
        <v>0.37769744127300225</v>
      </c>
      <c r="P159">
        <f t="shared" si="39"/>
        <v>0.38730827639020682</v>
      </c>
      <c r="Q159">
        <f t="shared" si="40"/>
        <v>22.191129607645237</v>
      </c>
      <c r="R159">
        <f t="shared" si="41"/>
        <v>0.40791185142540604</v>
      </c>
      <c r="S159">
        <f t="shared" si="42"/>
        <v>6.7519207642501494E-2</v>
      </c>
      <c r="T159">
        <f t="shared" si="43"/>
        <v>1.5032257120394064</v>
      </c>
      <c r="U159">
        <f t="shared" si="44"/>
        <v>86.128488955406013</v>
      </c>
      <c r="V159">
        <f t="shared" si="45"/>
        <v>5.7418992636937345</v>
      </c>
      <c r="X159">
        <f t="shared" si="46"/>
        <v>4.504514171017792E-2</v>
      </c>
      <c r="Y159">
        <f t="shared" si="47"/>
        <v>1.5257359379068847</v>
      </c>
      <c r="Z159">
        <f t="shared" si="48"/>
        <v>87.418229893498733</v>
      </c>
      <c r="AA159">
        <f t="shared" si="49"/>
        <v>5.8278819928999157</v>
      </c>
      <c r="AB159">
        <f t="shared" si="50"/>
        <v>12.344236014200169</v>
      </c>
    </row>
    <row r="160" spans="10:28" x14ac:dyDescent="0.3">
      <c r="J160">
        <v>155</v>
      </c>
      <c r="K160">
        <f t="shared" si="34"/>
        <v>-0.39794863130761032</v>
      </c>
      <c r="L160">
        <f t="shared" si="35"/>
        <v>162.62833675564681</v>
      </c>
      <c r="M160">
        <f t="shared" si="36"/>
        <v>2.8383999334281498</v>
      </c>
      <c r="N160">
        <f t="shared" si="37"/>
        <v>-0.95438810831759091</v>
      </c>
      <c r="O160">
        <f t="shared" si="38"/>
        <v>0.37979744144124467</v>
      </c>
      <c r="P160">
        <f t="shared" si="39"/>
        <v>0.38957732089699842</v>
      </c>
      <c r="Q160">
        <f t="shared" si="40"/>
        <v>22.321136281411743</v>
      </c>
      <c r="R160">
        <f t="shared" si="41"/>
        <v>0.41056090339365547</v>
      </c>
      <c r="S160">
        <f t="shared" si="42"/>
        <v>6.7957689361713619E-2</v>
      </c>
      <c r="T160">
        <f t="shared" si="43"/>
        <v>1.5027862208552283</v>
      </c>
      <c r="U160">
        <f t="shared" si="44"/>
        <v>86.10330796541939</v>
      </c>
      <c r="V160">
        <f t="shared" si="45"/>
        <v>5.7402205310279593</v>
      </c>
      <c r="X160">
        <f t="shared" si="46"/>
        <v>4.5337672856038104E-2</v>
      </c>
      <c r="Y160">
        <f t="shared" si="47"/>
        <v>1.5254431075888435</v>
      </c>
      <c r="Z160">
        <f t="shared" si="48"/>
        <v>87.401451952161494</v>
      </c>
      <c r="AA160">
        <f t="shared" si="49"/>
        <v>5.826763463477433</v>
      </c>
      <c r="AB160">
        <f t="shared" si="50"/>
        <v>12.346473073045134</v>
      </c>
    </row>
    <row r="161" spans="10:28" x14ac:dyDescent="0.3">
      <c r="J161">
        <v>156</v>
      </c>
      <c r="K161">
        <f t="shared" si="34"/>
        <v>-0.39794863130761032</v>
      </c>
      <c r="L161">
        <f t="shared" si="35"/>
        <v>163.61396303901438</v>
      </c>
      <c r="M161">
        <f t="shared" si="36"/>
        <v>2.8556023572671085</v>
      </c>
      <c r="N161">
        <f t="shared" si="37"/>
        <v>-0.95938275294907427</v>
      </c>
      <c r="O161">
        <f t="shared" si="38"/>
        <v>0.38178505343621133</v>
      </c>
      <c r="P161">
        <f t="shared" si="39"/>
        <v>0.39172687895284319</v>
      </c>
      <c r="Q161">
        <f t="shared" si="40"/>
        <v>22.444296885829996</v>
      </c>
      <c r="R161">
        <f t="shared" si="41"/>
        <v>0.41307501414093856</v>
      </c>
      <c r="S161">
        <f t="shared" si="42"/>
        <v>6.8373835068166799E-2</v>
      </c>
      <c r="T161">
        <f t="shared" si="43"/>
        <v>1.5023691049379777</v>
      </c>
      <c r="U161">
        <f t="shared" si="44"/>
        <v>86.079408983793215</v>
      </c>
      <c r="V161">
        <f t="shared" si="45"/>
        <v>5.7386272655862145</v>
      </c>
      <c r="X161">
        <f t="shared" si="46"/>
        <v>4.5615302629457809E-2</v>
      </c>
      <c r="Y161">
        <f t="shared" si="47"/>
        <v>1.5251651902838776</v>
      </c>
      <c r="Z161">
        <f t="shared" si="48"/>
        <v>87.385528463533305</v>
      </c>
      <c r="AA161">
        <f t="shared" si="49"/>
        <v>5.8257018975688872</v>
      </c>
      <c r="AB161">
        <f t="shared" si="50"/>
        <v>12.348596204862226</v>
      </c>
    </row>
    <row r="162" spans="10:28" x14ac:dyDescent="0.3">
      <c r="J162">
        <v>157</v>
      </c>
      <c r="K162">
        <f t="shared" si="34"/>
        <v>-0.39794863130761032</v>
      </c>
      <c r="L162">
        <f t="shared" si="35"/>
        <v>164.59958932238192</v>
      </c>
      <c r="M162">
        <f t="shared" si="36"/>
        <v>2.8728047811060669</v>
      </c>
      <c r="N162">
        <f t="shared" si="37"/>
        <v>-0.96409350078897549</v>
      </c>
      <c r="O162">
        <f t="shared" si="38"/>
        <v>0.38365968909153531</v>
      </c>
      <c r="P162">
        <f t="shared" si="39"/>
        <v>0.39375600591833687</v>
      </c>
      <c r="Q162">
        <f t="shared" si="40"/>
        <v>22.56055729704897</v>
      </c>
      <c r="R162">
        <f t="shared" si="41"/>
        <v>0.41545236892130299</v>
      </c>
      <c r="S162">
        <f t="shared" si="42"/>
        <v>6.8767344377823794E-2</v>
      </c>
      <c r="T162">
        <f t="shared" si="43"/>
        <v>1.5019746672247043</v>
      </c>
      <c r="U162">
        <f t="shared" si="44"/>
        <v>86.05680936754186</v>
      </c>
      <c r="V162">
        <f t="shared" si="45"/>
        <v>5.7371206245027908</v>
      </c>
      <c r="X162">
        <f t="shared" si="46"/>
        <v>4.5877830630550877E-2</v>
      </c>
      <c r="Y162">
        <f t="shared" si="47"/>
        <v>1.524902387147586</v>
      </c>
      <c r="Z162">
        <f t="shared" si="48"/>
        <v>87.37047095298098</v>
      </c>
      <c r="AA162">
        <f t="shared" si="49"/>
        <v>5.8246980635320655</v>
      </c>
      <c r="AB162">
        <f t="shared" si="50"/>
        <v>12.350603872935869</v>
      </c>
    </row>
    <row r="163" spans="10:28" x14ac:dyDescent="0.3">
      <c r="J163">
        <v>158</v>
      </c>
      <c r="K163">
        <f t="shared" si="34"/>
        <v>-0.39794863130761032</v>
      </c>
      <c r="L163">
        <f t="shared" si="35"/>
        <v>165.58521560574948</v>
      </c>
      <c r="M163">
        <f t="shared" si="36"/>
        <v>2.8900072049450256</v>
      </c>
      <c r="N163">
        <f t="shared" si="37"/>
        <v>-0.96851895785122044</v>
      </c>
      <c r="O163">
        <f t="shared" si="38"/>
        <v>0.38542079367236631</v>
      </c>
      <c r="P163">
        <f t="shared" si="39"/>
        <v>0.39566380495132408</v>
      </c>
      <c r="Q163">
        <f t="shared" si="40"/>
        <v>22.669866129798276</v>
      </c>
      <c r="R163">
        <f t="shared" si="41"/>
        <v>0.41769123258598573</v>
      </c>
      <c r="S163">
        <f t="shared" si="42"/>
        <v>6.9137930081893756E-2</v>
      </c>
      <c r="T163">
        <f t="shared" si="43"/>
        <v>1.5016031973959694</v>
      </c>
      <c r="U163">
        <f t="shared" si="44"/>
        <v>86.035525714138899</v>
      </c>
      <c r="V163">
        <f t="shared" si="45"/>
        <v>5.735701714275927</v>
      </c>
      <c r="X163">
        <f t="shared" si="46"/>
        <v>4.6125065249238692E-2</v>
      </c>
      <c r="Y163">
        <f t="shared" si="47"/>
        <v>1.5246548905216646</v>
      </c>
      <c r="Z163">
        <f t="shared" si="48"/>
        <v>87.356290440871973</v>
      </c>
      <c r="AA163">
        <f t="shared" si="49"/>
        <v>5.8237526960581318</v>
      </c>
      <c r="AB163">
        <f t="shared" si="50"/>
        <v>12.352494607883736</v>
      </c>
    </row>
    <row r="164" spans="10:28" x14ac:dyDescent="0.3">
      <c r="J164">
        <v>159</v>
      </c>
      <c r="K164">
        <f t="shared" si="34"/>
        <v>-0.39794863130761032</v>
      </c>
      <c r="L164">
        <f t="shared" si="35"/>
        <v>166.57084188911705</v>
      </c>
      <c r="M164">
        <f t="shared" si="36"/>
        <v>2.9072096287839839</v>
      </c>
      <c r="N164">
        <f t="shared" si="37"/>
        <v>-0.9726578145718654</v>
      </c>
      <c r="O164">
        <f t="shared" si="38"/>
        <v>0.38706784603952527</v>
      </c>
      <c r="P164">
        <f t="shared" si="39"/>
        <v>0.39744942824848584</v>
      </c>
      <c r="Q164">
        <f t="shared" si="40"/>
        <v>22.772174808525875</v>
      </c>
      <c r="R164">
        <f t="shared" si="41"/>
        <v>0.41978995391539031</v>
      </c>
      <c r="S164">
        <f t="shared" si="42"/>
        <v>6.9485318863878515E-2</v>
      </c>
      <c r="T164">
        <f t="shared" si="43"/>
        <v>1.5012549711480947</v>
      </c>
      <c r="U164">
        <f t="shared" si="44"/>
        <v>86.015573819819991</v>
      </c>
      <c r="V164">
        <f t="shared" si="45"/>
        <v>5.7343715879879991</v>
      </c>
      <c r="X164">
        <f t="shared" si="46"/>
        <v>4.6356824143624457E-2</v>
      </c>
      <c r="Y164">
        <f t="shared" si="47"/>
        <v>1.5244228834523674</v>
      </c>
      <c r="Z164">
        <f t="shared" si="48"/>
        <v>87.34299741498404</v>
      </c>
      <c r="AA164">
        <f t="shared" si="49"/>
        <v>5.8228664943322697</v>
      </c>
      <c r="AB164">
        <f t="shared" si="50"/>
        <v>12.354267011335461</v>
      </c>
    </row>
    <row r="165" spans="10:28" x14ac:dyDescent="0.3">
      <c r="J165">
        <v>160</v>
      </c>
      <c r="K165">
        <f t="shared" si="34"/>
        <v>-0.39794863130761032</v>
      </c>
      <c r="L165">
        <f t="shared" si="35"/>
        <v>167.55646817248459</v>
      </c>
      <c r="M165">
        <f t="shared" si="36"/>
        <v>2.9244120526229418</v>
      </c>
      <c r="N165">
        <f t="shared" si="37"/>
        <v>-0.97650884619661893</v>
      </c>
      <c r="O165">
        <f t="shared" si="38"/>
        <v>0.38860035880371824</v>
      </c>
      <c r="P165">
        <f t="shared" si="39"/>
        <v>0.39911207823582234</v>
      </c>
      <c r="Q165">
        <f t="shared" si="40"/>
        <v>22.867437635607736</v>
      </c>
      <c r="R165">
        <f t="shared" si="41"/>
        <v>0.42174696980752929</v>
      </c>
      <c r="S165">
        <f t="shared" si="42"/>
        <v>6.9809251992860352E-2</v>
      </c>
      <c r="T165">
        <f t="shared" si="43"/>
        <v>1.5009302494893906</v>
      </c>
      <c r="U165">
        <f t="shared" si="44"/>
        <v>85.996968639259762</v>
      </c>
      <c r="V165">
        <f t="shared" si="45"/>
        <v>5.7331312426173175</v>
      </c>
      <c r="X165">
        <f t="shared" si="46"/>
        <v>4.6572934702517083E-2</v>
      </c>
      <c r="Y165">
        <f t="shared" si="47"/>
        <v>1.5242065392248878</v>
      </c>
      <c r="Z165">
        <f t="shared" si="48"/>
        <v>87.330601803827435</v>
      </c>
      <c r="AA165">
        <f t="shared" si="49"/>
        <v>5.8220401202551626</v>
      </c>
      <c r="AB165">
        <f t="shared" si="50"/>
        <v>12.355919759489675</v>
      </c>
    </row>
    <row r="166" spans="10:28" x14ac:dyDescent="0.3">
      <c r="J166">
        <v>161</v>
      </c>
      <c r="K166">
        <f t="shared" si="34"/>
        <v>-0.39794863130761032</v>
      </c>
      <c r="L166">
        <f t="shared" si="35"/>
        <v>168.54209445585215</v>
      </c>
      <c r="M166">
        <f t="shared" si="36"/>
        <v>2.9416144764619006</v>
      </c>
      <c r="N166">
        <f t="shared" si="37"/>
        <v>-0.98007091314326655</v>
      </c>
      <c r="O166">
        <f t="shared" si="38"/>
        <v>0.39001787846976277</v>
      </c>
      <c r="P166">
        <f t="shared" si="39"/>
        <v>0.40065100870356657</v>
      </c>
      <c r="Q166">
        <f t="shared" si="40"/>
        <v>22.955611856373579</v>
      </c>
      <c r="R166">
        <f t="shared" si="41"/>
        <v>0.42356080930205969</v>
      </c>
      <c r="S166">
        <f t="shared" si="42"/>
        <v>7.0109485989576587E-2</v>
      </c>
      <c r="T166">
        <f t="shared" si="43"/>
        <v>1.5006292780638906</v>
      </c>
      <c r="U166">
        <f t="shared" si="44"/>
        <v>85.979724246824574</v>
      </c>
      <c r="V166">
        <f t="shared" si="45"/>
        <v>5.7319816164549717</v>
      </c>
      <c r="X166">
        <f t="shared" si="46"/>
        <v>4.6773234489799878E-2</v>
      </c>
      <c r="Y166">
        <f t="shared" si="47"/>
        <v>1.5240060209159785</v>
      </c>
      <c r="Z166">
        <f t="shared" si="48"/>
        <v>87.319112951011817</v>
      </c>
      <c r="AA166">
        <f t="shared" si="49"/>
        <v>5.8212741967341213</v>
      </c>
      <c r="AB166">
        <f t="shared" si="50"/>
        <v>12.357451606531757</v>
      </c>
    </row>
    <row r="167" spans="10:28" x14ac:dyDescent="0.3">
      <c r="J167">
        <v>162</v>
      </c>
      <c r="K167">
        <f t="shared" si="34"/>
        <v>-0.39794863130761032</v>
      </c>
      <c r="L167">
        <f t="shared" si="35"/>
        <v>169.52772073921972</v>
      </c>
      <c r="M167">
        <f t="shared" si="36"/>
        <v>2.9588169003008598</v>
      </c>
      <c r="N167">
        <f t="shared" si="37"/>
        <v>-0.98334296133889032</v>
      </c>
      <c r="O167">
        <f t="shared" si="38"/>
        <v>0.39131998557078379</v>
      </c>
      <c r="P167">
        <f t="shared" si="39"/>
        <v>0.40206552588120309</v>
      </c>
      <c r="Q167">
        <f t="shared" si="40"/>
        <v>23.036657720700905</v>
      </c>
      <c r="R167">
        <f t="shared" si="41"/>
        <v>0.42523009741945544</v>
      </c>
      <c r="S167">
        <f t="shared" si="42"/>
        <v>7.0385793261894744E-2</v>
      </c>
      <c r="T167">
        <f t="shared" si="43"/>
        <v>1.5003522865060457</v>
      </c>
      <c r="U167">
        <f t="shared" si="44"/>
        <v>85.96385379959932</v>
      </c>
      <c r="V167">
        <f t="shared" si="45"/>
        <v>5.730923586639955</v>
      </c>
      <c r="X167">
        <f t="shared" si="46"/>
        <v>4.6957571668385038E-2</v>
      </c>
      <c r="Y167">
        <f t="shared" si="47"/>
        <v>1.5238214809670942</v>
      </c>
      <c r="Z167">
        <f t="shared" si="48"/>
        <v>87.308539590789209</v>
      </c>
      <c r="AA167">
        <f t="shared" si="49"/>
        <v>5.8205693060526142</v>
      </c>
      <c r="AB167">
        <f t="shared" si="50"/>
        <v>12.358861387894772</v>
      </c>
    </row>
    <row r="168" spans="10:28" x14ac:dyDescent="0.3">
      <c r="J168">
        <v>163</v>
      </c>
      <c r="K168">
        <f t="shared" si="34"/>
        <v>-0.39794863130761032</v>
      </c>
      <c r="L168">
        <f t="shared" si="35"/>
        <v>170.51334702258728</v>
      </c>
      <c r="M168">
        <f t="shared" si="36"/>
        <v>2.9760193241398181</v>
      </c>
      <c r="N168">
        <f t="shared" si="37"/>
        <v>-0.98632402253178675</v>
      </c>
      <c r="O168">
        <f t="shared" si="38"/>
        <v>0.39250629479234111</v>
      </c>
      <c r="P168">
        <f t="shared" si="39"/>
        <v>0.4033549894484319</v>
      </c>
      <c r="Q168">
        <f t="shared" si="40"/>
        <v>23.110538540939</v>
      </c>
      <c r="R168">
        <f t="shared" si="41"/>
        <v>0.4267535587954393</v>
      </c>
      <c r="S168">
        <f t="shared" si="42"/>
        <v>7.0637962706398355E-2</v>
      </c>
      <c r="T168">
        <f t="shared" si="43"/>
        <v>1.500099487829742</v>
      </c>
      <c r="U168">
        <f t="shared" si="44"/>
        <v>85.94936950238062</v>
      </c>
      <c r="V168">
        <f t="shared" si="45"/>
        <v>5.7299579668253751</v>
      </c>
      <c r="X168">
        <f t="shared" si="46"/>
        <v>4.7125805401558946E-2</v>
      </c>
      <c r="Y168">
        <f t="shared" si="47"/>
        <v>1.5236530607802727</v>
      </c>
      <c r="Z168">
        <f t="shared" si="48"/>
        <v>87.298889824899533</v>
      </c>
      <c r="AA168">
        <f t="shared" si="49"/>
        <v>5.8199259883266352</v>
      </c>
      <c r="AB168">
        <f t="shared" si="50"/>
        <v>12.36014802334673</v>
      </c>
    </row>
    <row r="169" spans="10:28" x14ac:dyDescent="0.3">
      <c r="J169">
        <v>164</v>
      </c>
      <c r="K169">
        <f t="shared" si="34"/>
        <v>-0.39794863130761032</v>
      </c>
      <c r="L169">
        <f t="shared" si="35"/>
        <v>171.49897330595482</v>
      </c>
      <c r="M169">
        <f t="shared" si="36"/>
        <v>2.9932217479787759</v>
      </c>
      <c r="N169">
        <f t="shared" si="37"/>
        <v>-0.9890132145779883</v>
      </c>
      <c r="O169">
        <f t="shared" si="38"/>
        <v>0.39357645508645034</v>
      </c>
      <c r="P169">
        <f t="shared" si="39"/>
        <v>0.40451881347810936</v>
      </c>
      <c r="Q169">
        <f t="shared" si="40"/>
        <v>23.177220745935426</v>
      </c>
      <c r="R169">
        <f t="shared" si="41"/>
        <v>0.42813002109153675</v>
      </c>
      <c r="S169">
        <f t="shared" si="42"/>
        <v>7.086580027291553E-2</v>
      </c>
      <c r="T169">
        <f t="shared" si="43"/>
        <v>1.4998710778548718</v>
      </c>
      <c r="U169">
        <f t="shared" si="44"/>
        <v>85.936282574821874</v>
      </c>
      <c r="V169">
        <f t="shared" si="45"/>
        <v>5.7290855049881246</v>
      </c>
      <c r="X169">
        <f t="shared" si="46"/>
        <v>4.727780622960491E-2</v>
      </c>
      <c r="Y169">
        <f t="shared" si="47"/>
        <v>1.5235008903388829</v>
      </c>
      <c r="Z169">
        <f t="shared" si="48"/>
        <v>87.290171100841235</v>
      </c>
      <c r="AA169">
        <f t="shared" si="49"/>
        <v>5.8193447400560823</v>
      </c>
      <c r="AB169">
        <f t="shared" si="50"/>
        <v>12.361310519887835</v>
      </c>
    </row>
    <row r="170" spans="10:28" x14ac:dyDescent="0.3">
      <c r="J170">
        <v>165</v>
      </c>
      <c r="K170">
        <f t="shared" si="34"/>
        <v>-0.39794863130761032</v>
      </c>
      <c r="L170">
        <f t="shared" si="35"/>
        <v>172.48459958932239</v>
      </c>
      <c r="M170">
        <f t="shared" si="36"/>
        <v>3.0104241718177347</v>
      </c>
      <c r="N170">
        <f t="shared" si="37"/>
        <v>-0.99140974170230389</v>
      </c>
      <c r="O170">
        <f t="shared" si="38"/>
        <v>0.3945301497754633</v>
      </c>
      <c r="P170">
        <f t="shared" si="39"/>
        <v>0.40555646730741207</v>
      </c>
      <c r="Q170">
        <f t="shared" si="40"/>
        <v>23.236673930950062</v>
      </c>
      <c r="R170">
        <f t="shared" si="41"/>
        <v>0.42935841816351061</v>
      </c>
      <c r="S170">
        <f t="shared" si="42"/>
        <v>7.1069129488970942E-2</v>
      </c>
      <c r="T170">
        <f t="shared" si="43"/>
        <v>1.4996672346745452</v>
      </c>
      <c r="U170">
        <f t="shared" si="44"/>
        <v>85.924603220906619</v>
      </c>
      <c r="V170">
        <f t="shared" si="45"/>
        <v>5.7283068813937748</v>
      </c>
      <c r="X170">
        <f t="shared" si="46"/>
        <v>4.7413456419689054E-2</v>
      </c>
      <c r="Y170">
        <f t="shared" si="47"/>
        <v>1.5233650878552789</v>
      </c>
      <c r="Z170">
        <f t="shared" si="48"/>
        <v>87.282390191683334</v>
      </c>
      <c r="AA170">
        <f t="shared" si="49"/>
        <v>5.8188260127788887</v>
      </c>
      <c r="AB170">
        <f t="shared" si="50"/>
        <v>12.362347974442223</v>
      </c>
    </row>
    <row r="171" spans="10:28" x14ac:dyDescent="0.3">
      <c r="J171">
        <v>166</v>
      </c>
      <c r="K171">
        <f t="shared" si="34"/>
        <v>-0.39794863130761032</v>
      </c>
      <c r="L171">
        <f t="shared" si="35"/>
        <v>173.47022587268995</v>
      </c>
      <c r="M171">
        <f t="shared" si="36"/>
        <v>3.027626595656693</v>
      </c>
      <c r="N171">
        <f t="shared" si="37"/>
        <v>-0.99351289473380067</v>
      </c>
      <c r="O171">
        <f t="shared" si="38"/>
        <v>0.3953670966457779</v>
      </c>
      <c r="P171">
        <f t="shared" si="39"/>
        <v>0.40646747633372299</v>
      </c>
      <c r="Q171">
        <f t="shared" si="40"/>
        <v>23.288870903256001</v>
      </c>
      <c r="R171">
        <f t="shared" si="41"/>
        <v>0.43043779297050333</v>
      </c>
      <c r="S171">
        <f t="shared" si="42"/>
        <v>7.1247791941318819E-2</v>
      </c>
      <c r="T171">
        <f t="shared" si="43"/>
        <v>1.499488118165847</v>
      </c>
      <c r="U171">
        <f t="shared" si="44"/>
        <v>85.9143406009171</v>
      </c>
      <c r="V171">
        <f t="shared" si="45"/>
        <v>5.7276227067278063</v>
      </c>
      <c r="X171">
        <f t="shared" si="46"/>
        <v>4.7532650287112822E-2</v>
      </c>
      <c r="Y171">
        <f t="shared" si="47"/>
        <v>1.5232457594472706</v>
      </c>
      <c r="Z171">
        <f t="shared" si="48"/>
        <v>87.275553177528437</v>
      </c>
      <c r="AA171">
        <f t="shared" si="49"/>
        <v>5.8183702118352292</v>
      </c>
      <c r="AB171">
        <f t="shared" si="50"/>
        <v>12.363259576329542</v>
      </c>
    </row>
    <row r="172" spans="10:28" x14ac:dyDescent="0.3">
      <c r="J172">
        <v>167</v>
      </c>
      <c r="K172">
        <f t="shared" si="34"/>
        <v>-0.39794863130761032</v>
      </c>
      <c r="L172">
        <f t="shared" si="35"/>
        <v>174.45585215605749</v>
      </c>
      <c r="M172">
        <f t="shared" si="36"/>
        <v>3.0448290194956518</v>
      </c>
      <c r="N172">
        <f t="shared" si="37"/>
        <v>-0.99532205131566021</v>
      </c>
      <c r="O172">
        <f t="shared" si="38"/>
        <v>0.39608704803135009</v>
      </c>
      <c r="P172">
        <f t="shared" si="39"/>
        <v>0.40725142273200116</v>
      </c>
      <c r="Q172">
        <f t="shared" si="40"/>
        <v>23.333787723241823</v>
      </c>
      <c r="R172">
        <f t="shared" si="41"/>
        <v>0.43136730020891295</v>
      </c>
      <c r="S172">
        <f t="shared" si="42"/>
        <v>7.1401647711912597E-2</v>
      </c>
      <c r="T172">
        <f t="shared" si="43"/>
        <v>1.4993338695468406</v>
      </c>
      <c r="U172">
        <f t="shared" si="44"/>
        <v>85.905502806052311</v>
      </c>
      <c r="V172">
        <f t="shared" si="45"/>
        <v>5.727033520403487</v>
      </c>
      <c r="X172">
        <f t="shared" si="46"/>
        <v>4.7635294486168295E-2</v>
      </c>
      <c r="Y172">
        <f t="shared" si="47"/>
        <v>1.523142998845195</v>
      </c>
      <c r="Z172">
        <f t="shared" si="48"/>
        <v>87.269665428729311</v>
      </c>
      <c r="AA172">
        <f t="shared" si="49"/>
        <v>5.8179776952486204</v>
      </c>
      <c r="AB172">
        <f t="shared" si="50"/>
        <v>12.364044609502759</v>
      </c>
    </row>
    <row r="173" spans="10:28" x14ac:dyDescent="0.3">
      <c r="J173">
        <v>168</v>
      </c>
      <c r="K173">
        <f t="shared" si="34"/>
        <v>-0.39794863130761032</v>
      </c>
      <c r="L173">
        <f t="shared" si="35"/>
        <v>175.44147843942505</v>
      </c>
      <c r="M173">
        <f t="shared" si="36"/>
        <v>3.0620314433346101</v>
      </c>
      <c r="N173">
        <f t="shared" si="37"/>
        <v>-0.99683667608934345</v>
      </c>
      <c r="O173">
        <f t="shared" si="38"/>
        <v>0.39668979088698192</v>
      </c>
      <c r="P173">
        <f t="shared" si="39"/>
        <v>0.40790794609068848</v>
      </c>
      <c r="Q173">
        <f t="shared" si="40"/>
        <v>23.371403740846358</v>
      </c>
      <c r="R173">
        <f t="shared" si="41"/>
        <v>0.4321462086563817</v>
      </c>
      <c r="S173">
        <f t="shared" si="42"/>
        <v>7.1530575765891335E-2</v>
      </c>
      <c r="T173">
        <f t="shared" si="43"/>
        <v>1.4992046109822901</v>
      </c>
      <c r="U173">
        <f t="shared" si="44"/>
        <v>85.898096835837649</v>
      </c>
      <c r="V173">
        <f t="shared" si="45"/>
        <v>5.7265397890558436</v>
      </c>
      <c r="X173">
        <f t="shared" si="46"/>
        <v>4.7721308268981619E-2</v>
      </c>
      <c r="Y173">
        <f t="shared" si="47"/>
        <v>1.5230568871312149</v>
      </c>
      <c r="Z173">
        <f t="shared" si="48"/>
        <v>87.264731590951598</v>
      </c>
      <c r="AA173">
        <f t="shared" si="49"/>
        <v>5.8176487727301067</v>
      </c>
      <c r="AB173">
        <f t="shared" si="50"/>
        <v>12.364702454539787</v>
      </c>
    </row>
    <row r="174" spans="10:28" x14ac:dyDescent="0.3">
      <c r="J174">
        <v>169</v>
      </c>
      <c r="K174">
        <f t="shared" si="34"/>
        <v>-0.39794863130761032</v>
      </c>
      <c r="L174">
        <f t="shared" si="35"/>
        <v>176.42710472279262</v>
      </c>
      <c r="M174">
        <f t="shared" si="36"/>
        <v>3.0792338671735688</v>
      </c>
      <c r="N174">
        <f t="shared" si="37"/>
        <v>-0.99805632085301199</v>
      </c>
      <c r="O174">
        <f t="shared" si="38"/>
        <v>0.39717514685136529</v>
      </c>
      <c r="P174">
        <f t="shared" si="39"/>
        <v>0.40843674396352275</v>
      </c>
      <c r="Q174">
        <f t="shared" si="40"/>
        <v>23.401701627175257</v>
      </c>
      <c r="R174">
        <f t="shared" si="41"/>
        <v>0.43277390321275888</v>
      </c>
      <c r="S174">
        <f t="shared" si="42"/>
        <v>7.1634474289408112E-2</v>
      </c>
      <c r="T174">
        <f t="shared" si="43"/>
        <v>1.4991004452403294</v>
      </c>
      <c r="U174">
        <f t="shared" si="44"/>
        <v>85.892128578453452</v>
      </c>
      <c r="V174">
        <f t="shared" si="45"/>
        <v>5.7261419052302305</v>
      </c>
      <c r="X174">
        <f t="shared" si="46"/>
        <v>4.7790623710893675E-2</v>
      </c>
      <c r="Y174">
        <f t="shared" si="47"/>
        <v>1.5229874925123155</v>
      </c>
      <c r="Z174">
        <f t="shared" si="48"/>
        <v>87.260755572167739</v>
      </c>
      <c r="AA174">
        <f t="shared" si="49"/>
        <v>5.8173837048111823</v>
      </c>
      <c r="AB174">
        <f t="shared" si="50"/>
        <v>12.365232590377635</v>
      </c>
    </row>
    <row r="175" spans="10:28" x14ac:dyDescent="0.3">
      <c r="J175">
        <v>170</v>
      </c>
      <c r="K175">
        <f t="shared" si="34"/>
        <v>-0.39794863130761032</v>
      </c>
      <c r="L175">
        <f t="shared" si="35"/>
        <v>177.41273100616016</v>
      </c>
      <c r="M175">
        <f t="shared" si="36"/>
        <v>3.0964362910125272</v>
      </c>
      <c r="N175">
        <f t="shared" si="37"/>
        <v>-0.99898062469415794</v>
      </c>
      <c r="O175">
        <f t="shared" si="38"/>
        <v>0.39754297229986169</v>
      </c>
      <c r="P175">
        <f t="shared" si="39"/>
        <v>0.40883757233495577</v>
      </c>
      <c r="Q175">
        <f t="shared" si="40"/>
        <v>23.424667401167472</v>
      </c>
      <c r="R175">
        <f t="shared" si="41"/>
        <v>0.43324988662650149</v>
      </c>
      <c r="S175">
        <f t="shared" si="42"/>
        <v>7.1713260975390811E-2</v>
      </c>
      <c r="T175">
        <f t="shared" si="43"/>
        <v>1.4990214554020249</v>
      </c>
      <c r="U175">
        <f t="shared" si="44"/>
        <v>85.887602794094192</v>
      </c>
      <c r="V175">
        <f t="shared" si="45"/>
        <v>5.7258401862729462</v>
      </c>
      <c r="X175">
        <f t="shared" si="46"/>
        <v>4.7843185901104153E-2</v>
      </c>
      <c r="Y175">
        <f t="shared" si="47"/>
        <v>1.5229348701282786</v>
      </c>
      <c r="Z175">
        <f t="shared" si="48"/>
        <v>87.257740531654505</v>
      </c>
      <c r="AA175">
        <f t="shared" si="49"/>
        <v>5.8171827021103004</v>
      </c>
      <c r="AB175">
        <f t="shared" si="50"/>
        <v>12.365634595779399</v>
      </c>
    </row>
    <row r="176" spans="10:28" x14ac:dyDescent="0.3">
      <c r="J176">
        <v>171</v>
      </c>
      <c r="K176">
        <f t="shared" si="34"/>
        <v>-0.39794863130761032</v>
      </c>
      <c r="L176">
        <f t="shared" si="35"/>
        <v>178.39835728952772</v>
      </c>
      <c r="M176">
        <f t="shared" si="36"/>
        <v>3.1136387148514859</v>
      </c>
      <c r="N176">
        <f t="shared" si="37"/>
        <v>-0.99960931409640408</v>
      </c>
      <c r="O176">
        <f t="shared" si="38"/>
        <v>0.39779315838700313</v>
      </c>
      <c r="P176">
        <f t="shared" si="39"/>
        <v>0.40911024599722223</v>
      </c>
      <c r="Q176">
        <f t="shared" si="40"/>
        <v>23.440290451199715</v>
      </c>
      <c r="R176">
        <f t="shared" si="41"/>
        <v>0.43357378089668247</v>
      </c>
      <c r="S176">
        <f t="shared" si="42"/>
        <v>7.1766873255608085E-2</v>
      </c>
      <c r="T176">
        <f t="shared" si="43"/>
        <v>1.4989677046254999</v>
      </c>
      <c r="U176">
        <f t="shared" si="44"/>
        <v>85.884523101453752</v>
      </c>
      <c r="V176">
        <f t="shared" si="45"/>
        <v>5.7256348734302502</v>
      </c>
      <c r="X176">
        <f t="shared" si="46"/>
        <v>4.7878953097493356E-2</v>
      </c>
      <c r="Y176">
        <f t="shared" si="47"/>
        <v>1.5228990618957374</v>
      </c>
      <c r="Z176">
        <f t="shared" si="48"/>
        <v>87.255688871058084</v>
      </c>
      <c r="AA176">
        <f t="shared" si="49"/>
        <v>5.8170459247372053</v>
      </c>
      <c r="AB176">
        <f t="shared" si="50"/>
        <v>12.365908150525589</v>
      </c>
    </row>
    <row r="177" spans="10:28" x14ac:dyDescent="0.3">
      <c r="J177">
        <v>172</v>
      </c>
      <c r="K177">
        <f t="shared" si="34"/>
        <v>-0.39794863130761032</v>
      </c>
      <c r="L177">
        <f t="shared" si="35"/>
        <v>179.38398357289529</v>
      </c>
      <c r="M177">
        <f t="shared" si="36"/>
        <v>3.1308411386904442</v>
      </c>
      <c r="N177">
        <f t="shared" si="37"/>
        <v>-0.99994220302044157</v>
      </c>
      <c r="O177">
        <f t="shared" si="38"/>
        <v>0.39792563107870133</v>
      </c>
      <c r="P177">
        <f t="shared" si="39"/>
        <v>0.40925463883747204</v>
      </c>
      <c r="Q177">
        <f t="shared" si="40"/>
        <v>23.448563551537937</v>
      </c>
      <c r="R177">
        <f t="shared" si="41"/>
        <v>0.43374532834257995</v>
      </c>
      <c r="S177">
        <f t="shared" si="42"/>
        <v>7.1795268477712129E-2</v>
      </c>
      <c r="T177">
        <f t="shared" si="43"/>
        <v>1.4989392359659766</v>
      </c>
      <c r="U177">
        <f t="shared" si="44"/>
        <v>85.882891967414665</v>
      </c>
      <c r="V177">
        <f t="shared" si="45"/>
        <v>5.7255261311609775</v>
      </c>
      <c r="X177">
        <f t="shared" si="46"/>
        <v>4.7897896844735485E-2</v>
      </c>
      <c r="Y177">
        <f t="shared" si="47"/>
        <v>1.5228800963892029</v>
      </c>
      <c r="Z177">
        <f t="shared" si="48"/>
        <v>87.254602227577323</v>
      </c>
      <c r="AA177">
        <f t="shared" si="49"/>
        <v>5.8169734818384882</v>
      </c>
      <c r="AB177">
        <f t="shared" si="50"/>
        <v>12.366053036323024</v>
      </c>
    </row>
    <row r="178" spans="10:28" x14ac:dyDescent="0.3">
      <c r="J178">
        <v>173</v>
      </c>
      <c r="K178">
        <f t="shared" si="34"/>
        <v>-0.39794863130761032</v>
      </c>
      <c r="L178">
        <f t="shared" si="35"/>
        <v>180.36960985626283</v>
      </c>
      <c r="M178">
        <f t="shared" si="36"/>
        <v>3.1480435625294021</v>
      </c>
      <c r="N178">
        <f t="shared" si="37"/>
        <v>-0.99997919295908233</v>
      </c>
      <c r="O178">
        <f t="shared" si="38"/>
        <v>0.39794035117415555</v>
      </c>
      <c r="P178">
        <f t="shared" si="39"/>
        <v>0.40927068403374794</v>
      </c>
      <c r="Q178">
        <f t="shared" si="40"/>
        <v>23.449482873566001</v>
      </c>
      <c r="R178">
        <f t="shared" si="41"/>
        <v>0.43376439233469344</v>
      </c>
      <c r="S178">
        <f t="shared" si="42"/>
        <v>7.1798424026239357E-2</v>
      </c>
      <c r="T178">
        <f t="shared" si="43"/>
        <v>1.4989360722527798</v>
      </c>
      <c r="U178">
        <f t="shared" si="44"/>
        <v>85.882710700000899</v>
      </c>
      <c r="V178">
        <f t="shared" si="45"/>
        <v>5.7255140466667269</v>
      </c>
      <c r="X178">
        <f t="shared" si="46"/>
        <v>4.7900002055023719E-2</v>
      </c>
      <c r="Y178">
        <f t="shared" si="47"/>
        <v>1.5228779887597492</v>
      </c>
      <c r="Z178">
        <f t="shared" si="48"/>
        <v>87.254481469304849</v>
      </c>
      <c r="AA178">
        <f t="shared" si="49"/>
        <v>5.8169654312869898</v>
      </c>
      <c r="AB178">
        <f t="shared" si="50"/>
        <v>12.36606913742602</v>
      </c>
    </row>
    <row r="179" spans="10:28" x14ac:dyDescent="0.3">
      <c r="J179">
        <v>174</v>
      </c>
      <c r="K179">
        <f t="shared" si="34"/>
        <v>-0.39794863130761032</v>
      </c>
      <c r="L179">
        <f t="shared" si="35"/>
        <v>181.35523613963039</v>
      </c>
      <c r="M179">
        <f t="shared" si="36"/>
        <v>3.1652459863683609</v>
      </c>
      <c r="N179">
        <f t="shared" si="37"/>
        <v>-0.99972027296640831</v>
      </c>
      <c r="O179">
        <f t="shared" si="38"/>
        <v>0.39783731431745278</v>
      </c>
      <c r="P179">
        <f t="shared" si="39"/>
        <v>0.4091583741589786</v>
      </c>
      <c r="Q179">
        <f t="shared" si="40"/>
        <v>23.443047991744077</v>
      </c>
      <c r="R179">
        <f t="shared" si="41"/>
        <v>0.43363095768296889</v>
      </c>
      <c r="S179">
        <f t="shared" si="42"/>
        <v>7.1776337386871045E-2</v>
      </c>
      <c r="T179">
        <f t="shared" si="43"/>
        <v>1.4989582160240156</v>
      </c>
      <c r="U179">
        <f t="shared" si="44"/>
        <v>85.883979444635216</v>
      </c>
      <c r="V179">
        <f t="shared" si="45"/>
        <v>5.7255986296423478</v>
      </c>
      <c r="X179">
        <f t="shared" si="46"/>
        <v>4.7885267050941399E-2</v>
      </c>
      <c r="Y179">
        <f t="shared" si="47"/>
        <v>1.5228927406918302</v>
      </c>
      <c r="Z179">
        <f t="shared" si="48"/>
        <v>87.25532669275276</v>
      </c>
      <c r="AA179">
        <f t="shared" si="49"/>
        <v>5.8170217795168506</v>
      </c>
      <c r="AB179">
        <f t="shared" si="50"/>
        <v>12.365956440966299</v>
      </c>
    </row>
    <row r="180" spans="10:28" x14ac:dyDescent="0.3">
      <c r="J180">
        <v>175</v>
      </c>
      <c r="K180">
        <f t="shared" si="34"/>
        <v>-0.39794863130761032</v>
      </c>
      <c r="L180">
        <f t="shared" si="35"/>
        <v>182.34086242299796</v>
      </c>
      <c r="M180">
        <f t="shared" si="36"/>
        <v>3.1824484102073201</v>
      </c>
      <c r="N180">
        <f t="shared" si="37"/>
        <v>-0.99916551966101086</v>
      </c>
      <c r="O180">
        <f t="shared" si="38"/>
        <v>0.39761655099885651</v>
      </c>
      <c r="P180">
        <f t="shared" si="39"/>
        <v>0.40891776119254286</v>
      </c>
      <c r="Q180">
        <f t="shared" si="40"/>
        <v>23.429261884271188</v>
      </c>
      <c r="R180">
        <f t="shared" si="41"/>
        <v>0.43334513067998587</v>
      </c>
      <c r="S180">
        <f t="shared" si="42"/>
        <v>7.1729026153581774E-2</v>
      </c>
      <c r="T180">
        <f t="shared" si="43"/>
        <v>1.4990056495193036</v>
      </c>
      <c r="U180">
        <f t="shared" si="44"/>
        <v>85.886697183722774</v>
      </c>
      <c r="V180">
        <f t="shared" si="45"/>
        <v>5.7257798122481853</v>
      </c>
      <c r="X180">
        <f t="shared" si="46"/>
        <v>4.785370357023111E-2</v>
      </c>
      <c r="Y180">
        <f t="shared" si="47"/>
        <v>1.5229243403984749</v>
      </c>
      <c r="Z180">
        <f t="shared" si="48"/>
        <v>87.257137222577356</v>
      </c>
      <c r="AA180">
        <f t="shared" si="49"/>
        <v>5.8171424815051571</v>
      </c>
      <c r="AB180">
        <f t="shared" si="50"/>
        <v>12.365715036989686</v>
      </c>
    </row>
    <row r="181" spans="10:28" x14ac:dyDescent="0.3">
      <c r="J181">
        <v>176</v>
      </c>
      <c r="K181">
        <f t="shared" si="34"/>
        <v>-0.39794863130761032</v>
      </c>
      <c r="L181">
        <f t="shared" si="35"/>
        <v>183.3264887063655</v>
      </c>
      <c r="M181">
        <f t="shared" si="36"/>
        <v>3.1996508340462779</v>
      </c>
      <c r="N181">
        <f t="shared" si="37"/>
        <v>-0.99831509720331835</v>
      </c>
      <c r="O181">
        <f t="shared" si="38"/>
        <v>0.39727812654578448</v>
      </c>
      <c r="P181">
        <f t="shared" si="39"/>
        <v>0.40854895643935901</v>
      </c>
      <c r="Q181">
        <f t="shared" si="40"/>
        <v>23.408130928449392</v>
      </c>
      <c r="R181">
        <f t="shared" si="41"/>
        <v>0.432907138798861</v>
      </c>
      <c r="S181">
        <f t="shared" si="42"/>
        <v>7.1656527978635254E-2</v>
      </c>
      <c r="T181">
        <f t="shared" si="43"/>
        <v>1.4990783347306083</v>
      </c>
      <c r="U181">
        <f t="shared" si="44"/>
        <v>85.890861739563547</v>
      </c>
      <c r="V181">
        <f t="shared" si="45"/>
        <v>5.7260574493042364</v>
      </c>
      <c r="X181">
        <f t="shared" si="46"/>
        <v>4.7805336732434568E-2</v>
      </c>
      <c r="Y181">
        <f t="shared" si="47"/>
        <v>1.5229727626548912</v>
      </c>
      <c r="Z181">
        <f t="shared" si="48"/>
        <v>87.259911613504514</v>
      </c>
      <c r="AA181">
        <f t="shared" si="49"/>
        <v>5.8173274409003009</v>
      </c>
      <c r="AB181">
        <f t="shared" si="50"/>
        <v>12.365345118199398</v>
      </c>
    </row>
    <row r="182" spans="10:28" x14ac:dyDescent="0.3">
      <c r="J182">
        <v>177</v>
      </c>
      <c r="K182">
        <f t="shared" si="34"/>
        <v>-0.39794863130761032</v>
      </c>
      <c r="L182">
        <f t="shared" si="35"/>
        <v>184.31211498973306</v>
      </c>
      <c r="M182">
        <f t="shared" si="36"/>
        <v>3.2168532578852362</v>
      </c>
      <c r="N182">
        <f t="shared" si="37"/>
        <v>-0.99716925724701788</v>
      </c>
      <c r="O182">
        <f t="shared" si="38"/>
        <v>0.39682214110347713</v>
      </c>
      <c r="P182">
        <f t="shared" si="39"/>
        <v>0.40805213035683902</v>
      </c>
      <c r="Q182">
        <f t="shared" si="40"/>
        <v>23.379664890768971</v>
      </c>
      <c r="R182">
        <f t="shared" si="41"/>
        <v>0.43231733004760853</v>
      </c>
      <c r="S182">
        <f t="shared" si="42"/>
        <v>7.1558900465715433E-2</v>
      </c>
      <c r="T182">
        <f t="shared" si="43"/>
        <v>1.4991762135108702</v>
      </c>
      <c r="U182">
        <f t="shared" si="44"/>
        <v>85.896469780576439</v>
      </c>
      <c r="V182">
        <f t="shared" si="45"/>
        <v>5.7264313187050959</v>
      </c>
      <c r="X182">
        <f t="shared" si="46"/>
        <v>4.7740204967595595E-2</v>
      </c>
      <c r="Y182">
        <f t="shared" si="47"/>
        <v>1.523037968870284</v>
      </c>
      <c r="Z182">
        <f t="shared" si="48"/>
        <v>87.263647654444526</v>
      </c>
      <c r="AA182">
        <f t="shared" si="49"/>
        <v>5.817576510296302</v>
      </c>
      <c r="AB182">
        <f t="shared" si="50"/>
        <v>12.364846979407396</v>
      </c>
    </row>
    <row r="183" spans="10:28" x14ac:dyDescent="0.3">
      <c r="J183">
        <v>178</v>
      </c>
      <c r="K183">
        <f t="shared" si="34"/>
        <v>-0.39794863130761032</v>
      </c>
      <c r="L183">
        <f t="shared" si="35"/>
        <v>185.29774127310063</v>
      </c>
      <c r="M183">
        <f t="shared" si="36"/>
        <v>3.234055681724195</v>
      </c>
      <c r="N183">
        <f t="shared" si="37"/>
        <v>-0.99572833886458723</v>
      </c>
      <c r="O183">
        <f t="shared" si="38"/>
        <v>0.39624872960536289</v>
      </c>
      <c r="P183">
        <f t="shared" si="39"/>
        <v>0.40742751229044688</v>
      </c>
      <c r="Q183">
        <f t="shared" si="40"/>
        <v>23.343876911757082</v>
      </c>
      <c r="R183">
        <f t="shared" si="41"/>
        <v>0.43157617198369386</v>
      </c>
      <c r="S183">
        <f t="shared" si="42"/>
        <v>7.1436221006811504E-2</v>
      </c>
      <c r="T183">
        <f t="shared" si="43"/>
        <v>1.4992992077398091</v>
      </c>
      <c r="U183">
        <f t="shared" si="44"/>
        <v>85.903516830799106</v>
      </c>
      <c r="V183">
        <f t="shared" si="45"/>
        <v>5.726901122053274</v>
      </c>
      <c r="X183">
        <f t="shared" si="46"/>
        <v>4.7658359907438566E-2</v>
      </c>
      <c r="Y183">
        <f t="shared" si="47"/>
        <v>1.5231199071974688</v>
      </c>
      <c r="Z183">
        <f t="shared" si="48"/>
        <v>87.268342374772587</v>
      </c>
      <c r="AA183">
        <f t="shared" si="49"/>
        <v>5.8178894916515054</v>
      </c>
      <c r="AB183">
        <f t="shared" si="50"/>
        <v>12.364221016696989</v>
      </c>
    </row>
    <row r="184" spans="10:28" x14ac:dyDescent="0.3">
      <c r="J184">
        <v>179</v>
      </c>
      <c r="K184">
        <f t="shared" si="34"/>
        <v>-0.39794863130761032</v>
      </c>
      <c r="L184">
        <f t="shared" si="35"/>
        <v>186.28336755646816</v>
      </c>
      <c r="M184">
        <f t="shared" si="36"/>
        <v>3.2512581055631533</v>
      </c>
      <c r="N184">
        <f t="shared" si="37"/>
        <v>-0.99399276844695816</v>
      </c>
      <c r="O184">
        <f t="shared" si="38"/>
        <v>0.39555806173312941</v>
      </c>
      <c r="P184">
        <f t="shared" si="39"/>
        <v>0.40667539011897869</v>
      </c>
      <c r="Q184">
        <f t="shared" si="40"/>
        <v>23.300783485653739</v>
      </c>
      <c r="R184">
        <f t="shared" si="41"/>
        <v>0.43068425039444852</v>
      </c>
      <c r="S184">
        <f t="shared" si="42"/>
        <v>7.1288586563794845E-2</v>
      </c>
      <c r="T184">
        <f t="shared" si="43"/>
        <v>1.4994472195459345</v>
      </c>
      <c r="U184">
        <f t="shared" si="44"/>
        <v>85.911997282608198</v>
      </c>
      <c r="V184">
        <f t="shared" si="45"/>
        <v>5.7274664855072128</v>
      </c>
      <c r="X184">
        <f t="shared" si="46"/>
        <v>4.7559866239648502E-2</v>
      </c>
      <c r="Y184">
        <f t="shared" si="47"/>
        <v>1.5232185126796514</v>
      </c>
      <c r="Z184">
        <f t="shared" si="48"/>
        <v>87.273992052738507</v>
      </c>
      <c r="AA184">
        <f t="shared" si="49"/>
        <v>5.8182661368492337</v>
      </c>
      <c r="AB184">
        <f t="shared" si="50"/>
        <v>12.363467726301533</v>
      </c>
    </row>
    <row r="185" spans="10:28" x14ac:dyDescent="0.3">
      <c r="J185">
        <v>180</v>
      </c>
      <c r="K185">
        <f t="shared" si="34"/>
        <v>-0.39794863130761032</v>
      </c>
      <c r="L185">
        <f t="shared" si="35"/>
        <v>187.26899383983573</v>
      </c>
      <c r="M185">
        <f t="shared" si="36"/>
        <v>3.2684605294021121</v>
      </c>
      <c r="N185">
        <f t="shared" si="37"/>
        <v>-0.99196305957733966</v>
      </c>
      <c r="O185">
        <f t="shared" si="38"/>
        <v>0.39475034186651181</v>
      </c>
      <c r="P185">
        <f t="shared" si="39"/>
        <v>0.4057961098110629</v>
      </c>
      <c r="Q185">
        <f t="shared" si="40"/>
        <v>23.250404435001201</v>
      </c>
      <c r="R185">
        <f t="shared" si="41"/>
        <v>0.42964226765091568</v>
      </c>
      <c r="S185">
        <f t="shared" si="42"/>
        <v>7.1116113395940914E-2</v>
      </c>
      <c r="T185">
        <f t="shared" si="43"/>
        <v>1.4996201315834874</v>
      </c>
      <c r="U185">
        <f t="shared" si="44"/>
        <v>85.921904412586997</v>
      </c>
      <c r="V185">
        <f t="shared" si="45"/>
        <v>5.7281269608391332</v>
      </c>
      <c r="X185">
        <f t="shared" si="46"/>
        <v>4.7444801526088494E-2</v>
      </c>
      <c r="Y185">
        <f t="shared" si="47"/>
        <v>1.5233337074335274</v>
      </c>
      <c r="Z185">
        <f t="shared" si="48"/>
        <v>87.280592225957633</v>
      </c>
      <c r="AA185">
        <f t="shared" si="49"/>
        <v>5.8187061483971751</v>
      </c>
      <c r="AB185">
        <f t="shared" si="50"/>
        <v>12.36258770320565</v>
      </c>
    </row>
    <row r="186" spans="10:28" x14ac:dyDescent="0.3">
      <c r="J186">
        <v>181</v>
      </c>
      <c r="K186">
        <f t="shared" si="34"/>
        <v>-0.39794863130761032</v>
      </c>
      <c r="L186">
        <f t="shared" si="35"/>
        <v>188.2546201232033</v>
      </c>
      <c r="M186">
        <f t="shared" si="36"/>
        <v>3.2856629532410704</v>
      </c>
      <c r="N186">
        <f t="shared" si="37"/>
        <v>-0.98963981287924119</v>
      </c>
      <c r="O186">
        <f t="shared" si="38"/>
        <v>0.39382580902281361</v>
      </c>
      <c r="P186">
        <f t="shared" si="39"/>
        <v>0.40479007489474378</v>
      </c>
      <c r="Q186">
        <f t="shared" si="40"/>
        <v>23.192762880253323</v>
      </c>
      <c r="R186">
        <f t="shared" si="41"/>
        <v>0.42845104074451096</v>
      </c>
      <c r="S186">
        <f t="shared" si="42"/>
        <v>7.0918936734949534E-2</v>
      </c>
      <c r="T186">
        <f t="shared" si="43"/>
        <v>1.49981780736272</v>
      </c>
      <c r="U186">
        <f t="shared" si="44"/>
        <v>85.933230400448977</v>
      </c>
      <c r="V186">
        <f t="shared" si="45"/>
        <v>5.7288820266965983</v>
      </c>
      <c r="X186">
        <f t="shared" si="46"/>
        <v>4.7313255985990871E-2</v>
      </c>
      <c r="Y186">
        <f t="shared" si="47"/>
        <v>1.5234654008676554</v>
      </c>
      <c r="Z186">
        <f t="shared" si="48"/>
        <v>87.288137703922757</v>
      </c>
      <c r="AA186">
        <f t="shared" si="49"/>
        <v>5.8192091802615176</v>
      </c>
      <c r="AB186">
        <f t="shared" si="50"/>
        <v>12.361581639476965</v>
      </c>
    </row>
    <row r="187" spans="10:28" x14ac:dyDescent="0.3">
      <c r="J187">
        <v>182</v>
      </c>
      <c r="K187">
        <f t="shared" si="34"/>
        <v>-0.39794863130761032</v>
      </c>
      <c r="L187">
        <f t="shared" si="35"/>
        <v>189.24024640657083</v>
      </c>
      <c r="M187">
        <f t="shared" si="36"/>
        <v>3.3028653770800287</v>
      </c>
      <c r="N187">
        <f t="shared" si="37"/>
        <v>-0.98702371583873827</v>
      </c>
      <c r="O187">
        <f t="shared" si="38"/>
        <v>0.39278473678617759</v>
      </c>
      <c r="P187">
        <f t="shared" si="39"/>
        <v>0.40365774584236352</v>
      </c>
      <c r="Q187">
        <f t="shared" si="40"/>
        <v>23.127885204531886</v>
      </c>
      <c r="R187">
        <f t="shared" si="41"/>
        <v>0.42711149901761902</v>
      </c>
      <c r="S187">
        <f t="shared" si="42"/>
        <v>7.0697210409304032E-2</v>
      </c>
      <c r="T187">
        <f t="shared" si="43"/>
        <v>1.5000400916316345</v>
      </c>
      <c r="U187">
        <f t="shared" si="44"/>
        <v>85.945966350909941</v>
      </c>
      <c r="V187">
        <f t="shared" si="45"/>
        <v>5.7297310900606631</v>
      </c>
      <c r="X187">
        <f t="shared" si="46"/>
        <v>4.7165332245350113E-2</v>
      </c>
      <c r="Y187">
        <f t="shared" si="47"/>
        <v>1.5236134899348635</v>
      </c>
      <c r="Z187">
        <f t="shared" si="48"/>
        <v>87.296622582465801</v>
      </c>
      <c r="AA187">
        <f t="shared" si="49"/>
        <v>5.8197748388310533</v>
      </c>
      <c r="AB187">
        <f t="shared" si="50"/>
        <v>12.360450322337893</v>
      </c>
    </row>
    <row r="188" spans="10:28" x14ac:dyDescent="0.3">
      <c r="J188">
        <v>183</v>
      </c>
      <c r="K188">
        <f t="shared" si="34"/>
        <v>-0.39794863130761032</v>
      </c>
      <c r="L188">
        <f t="shared" si="35"/>
        <v>190.2258726899384</v>
      </c>
      <c r="M188">
        <f t="shared" si="36"/>
        <v>3.3200678009189875</v>
      </c>
      <c r="N188">
        <f t="shared" si="37"/>
        <v>-0.98411554260103395</v>
      </c>
      <c r="O188">
        <f t="shared" si="38"/>
        <v>0.39162743322662774</v>
      </c>
      <c r="P188">
        <f t="shared" si="39"/>
        <v>0.40239963937329409</v>
      </c>
      <c r="Q188">
        <f t="shared" si="40"/>
        <v>23.055801013676099</v>
      </c>
      <c r="R188">
        <f t="shared" si="41"/>
        <v>0.4256246816008743</v>
      </c>
      <c r="S188">
        <f t="shared" si="42"/>
        <v>7.0451106420079693E-2</v>
      </c>
      <c r="T188">
        <f t="shared" si="43"/>
        <v>1.5002868108070226</v>
      </c>
      <c r="U188">
        <f t="shared" si="44"/>
        <v>85.960102318384614</v>
      </c>
      <c r="V188">
        <f t="shared" si="45"/>
        <v>5.7306734878923073</v>
      </c>
      <c r="X188">
        <f t="shared" si="46"/>
        <v>4.7001145053925317E-2</v>
      </c>
      <c r="Y188">
        <f t="shared" si="47"/>
        <v>1.5237778594172691</v>
      </c>
      <c r="Z188">
        <f t="shared" si="48"/>
        <v>87.306040260088409</v>
      </c>
      <c r="AA188">
        <f t="shared" si="49"/>
        <v>5.8204026840058942</v>
      </c>
      <c r="AB188">
        <f t="shared" si="50"/>
        <v>12.359194631988212</v>
      </c>
    </row>
    <row r="189" spans="10:28" x14ac:dyDescent="0.3">
      <c r="J189">
        <v>184</v>
      </c>
      <c r="K189">
        <f t="shared" si="34"/>
        <v>-0.39794863130761032</v>
      </c>
      <c r="L189">
        <f t="shared" si="35"/>
        <v>191.21149897330596</v>
      </c>
      <c r="M189">
        <f t="shared" si="36"/>
        <v>3.3372702247579462</v>
      </c>
      <c r="N189">
        <f t="shared" si="37"/>
        <v>-0.98091615374137742</v>
      </c>
      <c r="O189">
        <f t="shared" si="38"/>
        <v>0.39035424080890663</v>
      </c>
      <c r="P189">
        <f t="shared" si="39"/>
        <v>0.4010163276773886</v>
      </c>
      <c r="Q189">
        <f t="shared" si="40"/>
        <v>22.97654309174963</v>
      </c>
      <c r="R189">
        <f t="shared" si="41"/>
        <v>0.4239917345713895</v>
      </c>
      <c r="S189">
        <f t="shared" si="42"/>
        <v>7.0180814470562389E-2</v>
      </c>
      <c r="T189">
        <f t="shared" si="43"/>
        <v>1.5005577734523914</v>
      </c>
      <c r="U189">
        <f t="shared" si="44"/>
        <v>85.975627334369946</v>
      </c>
      <c r="V189">
        <f t="shared" si="45"/>
        <v>5.7317084889579961</v>
      </c>
      <c r="X189">
        <f t="shared" si="46"/>
        <v>4.6820820971427292E-2</v>
      </c>
      <c r="Y189">
        <f t="shared" si="47"/>
        <v>1.5239583822423182</v>
      </c>
      <c r="Z189">
        <f t="shared" si="48"/>
        <v>87.316383456069502</v>
      </c>
      <c r="AA189">
        <f t="shared" si="49"/>
        <v>5.8210922304046333</v>
      </c>
      <c r="AB189">
        <f t="shared" si="50"/>
        <v>12.357815539190733</v>
      </c>
    </row>
    <row r="190" spans="10:28" x14ac:dyDescent="0.3">
      <c r="J190">
        <v>185</v>
      </c>
      <c r="K190">
        <f t="shared" si="34"/>
        <v>-0.39794863130761032</v>
      </c>
      <c r="L190">
        <f t="shared" si="35"/>
        <v>192.1971252566735</v>
      </c>
      <c r="M190">
        <f t="shared" si="36"/>
        <v>3.3544726485969041</v>
      </c>
      <c r="N190">
        <f t="shared" si="37"/>
        <v>-0.97742649601040554</v>
      </c>
      <c r="O190">
        <f t="shared" si="38"/>
        <v>0.38896553629113434</v>
      </c>
      <c r="P190">
        <f t="shared" si="39"/>
        <v>0.39950843756231691</v>
      </c>
      <c r="Q190">
        <f t="shared" si="40"/>
        <v>22.890147352186524</v>
      </c>
      <c r="R190">
        <f t="shared" si="41"/>
        <v>0.42221390784757679</v>
      </c>
      <c r="S190">
        <f t="shared" si="42"/>
        <v>6.988654145226679E-2</v>
      </c>
      <c r="T190">
        <f t="shared" si="43"/>
        <v>1.5008527708001307</v>
      </c>
      <c r="U190">
        <f t="shared" si="44"/>
        <v>85.992529437362961</v>
      </c>
      <c r="V190">
        <f t="shared" si="45"/>
        <v>5.7328352958241977</v>
      </c>
      <c r="X190">
        <f t="shared" si="46"/>
        <v>4.6624498024617961E-2</v>
      </c>
      <c r="Y190">
        <f t="shared" si="47"/>
        <v>1.524154919828103</v>
      </c>
      <c r="Z190">
        <f t="shared" si="48"/>
        <v>87.327644230250641</v>
      </c>
      <c r="AA190">
        <f t="shared" si="49"/>
        <v>5.8218429486833765</v>
      </c>
      <c r="AB190">
        <f t="shared" si="50"/>
        <v>12.356314102633247</v>
      </c>
    </row>
    <row r="191" spans="10:28" x14ac:dyDescent="0.3">
      <c r="J191">
        <v>186</v>
      </c>
      <c r="K191">
        <f t="shared" si="34"/>
        <v>-0.39794863130761032</v>
      </c>
      <c r="L191">
        <f t="shared" si="35"/>
        <v>193.18275154004107</v>
      </c>
      <c r="M191">
        <f t="shared" si="36"/>
        <v>3.3716750724358628</v>
      </c>
      <c r="N191">
        <f t="shared" si="37"/>
        <v>-0.97364760205398382</v>
      </c>
      <c r="O191">
        <f t="shared" si="38"/>
        <v>0.38746173061331968</v>
      </c>
      <c r="P191">
        <f t="shared" si="39"/>
        <v>0.39787664952822727</v>
      </c>
      <c r="Q191">
        <f t="shared" si="40"/>
        <v>22.796652784773237</v>
      </c>
      <c r="R191">
        <f t="shared" si="41"/>
        <v>0.42029255183745295</v>
      </c>
      <c r="S191">
        <f t="shared" si="42"/>
        <v>6.9568510890150495E-2</v>
      </c>
      <c r="T191">
        <f t="shared" si="43"/>
        <v>1.5011715773150633</v>
      </c>
      <c r="U191">
        <f t="shared" si="44"/>
        <v>86.010795705149874</v>
      </c>
      <c r="V191">
        <f t="shared" si="45"/>
        <v>5.7340530470099917</v>
      </c>
      <c r="X191">
        <f t="shared" si="46"/>
        <v>4.6412325337187338E-2</v>
      </c>
      <c r="Y191">
        <f t="shared" si="47"/>
        <v>1.5243673224560721</v>
      </c>
      <c r="Z191">
        <f t="shared" si="48"/>
        <v>87.33981400439076</v>
      </c>
      <c r="AA191">
        <f t="shared" si="49"/>
        <v>5.8226542669593844</v>
      </c>
      <c r="AB191">
        <f t="shared" si="50"/>
        <v>12.354691466081231</v>
      </c>
    </row>
    <row r="192" spans="10:28" x14ac:dyDescent="0.3">
      <c r="J192">
        <v>187</v>
      </c>
      <c r="K192">
        <f t="shared" si="34"/>
        <v>-0.39794863130761032</v>
      </c>
      <c r="L192">
        <f t="shared" si="35"/>
        <v>194.16837782340863</v>
      </c>
      <c r="M192">
        <f t="shared" si="36"/>
        <v>3.3888774962748212</v>
      </c>
      <c r="N192">
        <f t="shared" si="37"/>
        <v>-0.96958059010763076</v>
      </c>
      <c r="O192">
        <f t="shared" si="38"/>
        <v>0.38584326877575681</v>
      </c>
      <c r="P192">
        <f t="shared" si="39"/>
        <v>0.39612169677342479</v>
      </c>
      <c r="Q192">
        <f t="shared" si="40"/>
        <v>22.696101398678202</v>
      </c>
      <c r="R192">
        <f t="shared" si="41"/>
        <v>0.41822911385841666</v>
      </c>
      <c r="S192">
        <f t="shared" si="42"/>
        <v>6.9226962350001128E-2</v>
      </c>
      <c r="T192">
        <f t="shared" si="43"/>
        <v>1.5015139512963387</v>
      </c>
      <c r="U192">
        <f t="shared" si="44"/>
        <v>86.030412289292059</v>
      </c>
      <c r="V192">
        <f t="shared" si="45"/>
        <v>5.7353608192861376</v>
      </c>
      <c r="X192">
        <f t="shared" si="46"/>
        <v>4.6184462734394457E-2</v>
      </c>
      <c r="Y192">
        <f t="shared" si="47"/>
        <v>1.5245954296691302</v>
      </c>
      <c r="Z192">
        <f t="shared" si="48"/>
        <v>87.352883584975501</v>
      </c>
      <c r="AA192">
        <f t="shared" si="49"/>
        <v>5.8235255723317003</v>
      </c>
      <c r="AB192">
        <f t="shared" si="50"/>
        <v>12.352948855336599</v>
      </c>
    </row>
    <row r="193" spans="10:28" x14ac:dyDescent="0.3">
      <c r="J193">
        <v>188</v>
      </c>
      <c r="K193">
        <f t="shared" si="34"/>
        <v>-0.39794863130761032</v>
      </c>
      <c r="L193">
        <f t="shared" si="35"/>
        <v>195.15400410677617</v>
      </c>
      <c r="M193">
        <f t="shared" si="36"/>
        <v>3.4060799201137799</v>
      </c>
      <c r="N193">
        <f t="shared" si="37"/>
        <v>-0.96522666366561305</v>
      </c>
      <c r="O193">
        <f t="shared" si="38"/>
        <v>0.38411062970734183</v>
      </c>
      <c r="P193">
        <f t="shared" si="39"/>
        <v>0.39424436413498221</v>
      </c>
      <c r="Q193">
        <f t="shared" si="40"/>
        <v>22.588538161753284</v>
      </c>
      <c r="R193">
        <f t="shared" si="41"/>
        <v>0.41602513434742189</v>
      </c>
      <c r="S193">
        <f t="shared" si="42"/>
        <v>6.8862150811129008E-2</v>
      </c>
      <c r="T193">
        <f t="shared" si="43"/>
        <v>1.5018796355144663</v>
      </c>
      <c r="U193">
        <f t="shared" si="44"/>
        <v>86.051364451625304</v>
      </c>
      <c r="V193">
        <f t="shared" si="45"/>
        <v>5.7367576301083538</v>
      </c>
      <c r="X193">
        <f t="shared" si="46"/>
        <v>4.5941080324562115E-2</v>
      </c>
      <c r="Y193">
        <f t="shared" si="47"/>
        <v>1.5248390706930157</v>
      </c>
      <c r="Z193">
        <f t="shared" si="48"/>
        <v>87.366843187360374</v>
      </c>
      <c r="AA193">
        <f t="shared" si="49"/>
        <v>5.8244562124906913</v>
      </c>
      <c r="AB193">
        <f t="shared" si="50"/>
        <v>12.351087575018617</v>
      </c>
    </row>
    <row r="194" spans="10:28" x14ac:dyDescent="0.3">
      <c r="J194">
        <v>189</v>
      </c>
      <c r="K194">
        <f t="shared" si="34"/>
        <v>-0.39794863130761032</v>
      </c>
      <c r="L194">
        <f t="shared" si="35"/>
        <v>196.13963039014374</v>
      </c>
      <c r="M194">
        <f t="shared" si="36"/>
        <v>3.4232823439527382</v>
      </c>
      <c r="N194">
        <f t="shared" si="37"/>
        <v>-0.96058711112481299</v>
      </c>
      <c r="O194">
        <f t="shared" si="38"/>
        <v>0.3822643261238507</v>
      </c>
      <c r="P194">
        <f t="shared" si="39"/>
        <v>0.39224548696840117</v>
      </c>
      <c r="Q194">
        <f t="shared" si="40"/>
        <v>22.47401093634312</v>
      </c>
      <c r="R194">
        <f t="shared" si="41"/>
        <v>0.41368224288126132</v>
      </c>
      <c r="S194">
        <f t="shared" si="42"/>
        <v>6.8474346007628542E-2</v>
      </c>
      <c r="T194">
        <f t="shared" si="43"/>
        <v>1.5022683578801637</v>
      </c>
      <c r="U194">
        <f t="shared" si="44"/>
        <v>86.073636602582098</v>
      </c>
      <c r="V194">
        <f t="shared" si="45"/>
        <v>5.7382424401721401</v>
      </c>
      <c r="X194">
        <f t="shared" si="46"/>
        <v>4.5682358059602211E-2</v>
      </c>
      <c r="Y194">
        <f t="shared" si="47"/>
        <v>1.5250980648787609</v>
      </c>
      <c r="Z194">
        <f t="shared" si="48"/>
        <v>87.381682461121997</v>
      </c>
      <c r="AA194">
        <f t="shared" si="49"/>
        <v>5.8254454974081336</v>
      </c>
      <c r="AB194">
        <f t="shared" si="50"/>
        <v>12.349109005183733</v>
      </c>
    </row>
    <row r="195" spans="10:28" x14ac:dyDescent="0.3">
      <c r="J195">
        <v>190</v>
      </c>
      <c r="K195">
        <f t="shared" si="34"/>
        <v>-0.39794863130761032</v>
      </c>
      <c r="L195">
        <f t="shared" si="35"/>
        <v>197.1252566735113</v>
      </c>
      <c r="M195">
        <f t="shared" si="36"/>
        <v>3.440484767791697</v>
      </c>
      <c r="N195">
        <f t="shared" si="37"/>
        <v>-0.95566330540347044</v>
      </c>
      <c r="O195">
        <f t="shared" si="38"/>
        <v>0.38030490437621789</v>
      </c>
      <c r="P195">
        <f t="shared" si="39"/>
        <v>0.39012594997060784</v>
      </c>
      <c r="Q195">
        <f t="shared" si="40"/>
        <v>22.352570411847733</v>
      </c>
      <c r="R195">
        <f t="shared" si="41"/>
        <v>0.41120215402728189</v>
      </c>
      <c r="S195">
        <f t="shared" si="42"/>
        <v>6.8063831741571948E-2</v>
      </c>
      <c r="T195">
        <f t="shared" si="43"/>
        <v>1.5026798321415786</v>
      </c>
      <c r="U195">
        <f t="shared" si="44"/>
        <v>86.097212341139439</v>
      </c>
      <c r="V195">
        <f t="shared" si="45"/>
        <v>5.7398141560759628</v>
      </c>
      <c r="X195">
        <f t="shared" si="46"/>
        <v>4.5408485276816041E-2</v>
      </c>
      <c r="Y195">
        <f t="shared" si="47"/>
        <v>1.5253722221639678</v>
      </c>
      <c r="Z195">
        <f t="shared" si="48"/>
        <v>87.397390516487121</v>
      </c>
      <c r="AA195">
        <f t="shared" si="49"/>
        <v>5.8264927010991414</v>
      </c>
      <c r="AB195">
        <f t="shared" si="50"/>
        <v>12.347014597801717</v>
      </c>
    </row>
    <row r="196" spans="10:28" x14ac:dyDescent="0.3">
      <c r="J196">
        <v>191</v>
      </c>
      <c r="K196">
        <f t="shared" si="34"/>
        <v>-0.39794863130761032</v>
      </c>
      <c r="L196">
        <f t="shared" si="35"/>
        <v>198.11088295687884</v>
      </c>
      <c r="M196">
        <f t="shared" si="36"/>
        <v>3.4576871916306553</v>
      </c>
      <c r="N196">
        <f t="shared" si="37"/>
        <v>-0.95045670353491507</v>
      </c>
      <c r="O196">
        <f t="shared" si="38"/>
        <v>0.37823294428886262</v>
      </c>
      <c r="P196">
        <f t="shared" si="39"/>
        <v>0.38788668595071696</v>
      </c>
      <c r="Q196">
        <f t="shared" si="40"/>
        <v>22.224270034292488</v>
      </c>
      <c r="R196">
        <f t="shared" si="41"/>
        <v>0.40858666304531849</v>
      </c>
      <c r="S196">
        <f t="shared" si="42"/>
        <v>6.763090517157605E-2</v>
      </c>
      <c r="T196">
        <f t="shared" si="43"/>
        <v>1.503113758606379</v>
      </c>
      <c r="U196">
        <f t="shared" si="44"/>
        <v>86.122074496191544</v>
      </c>
      <c r="V196">
        <f t="shared" si="45"/>
        <v>5.7414716330794366</v>
      </c>
      <c r="X196">
        <f t="shared" si="46"/>
        <v>4.5119660224264758E-2</v>
      </c>
      <c r="Y196">
        <f t="shared" si="47"/>
        <v>1.5256613435505868</v>
      </c>
      <c r="Z196">
        <f t="shared" si="48"/>
        <v>87.413955951707365</v>
      </c>
      <c r="AA196">
        <f t="shared" si="49"/>
        <v>5.8275970634471577</v>
      </c>
      <c r="AB196">
        <f t="shared" si="50"/>
        <v>12.344805873105685</v>
      </c>
    </row>
    <row r="197" spans="10:28" x14ac:dyDescent="0.3">
      <c r="J197">
        <v>192</v>
      </c>
      <c r="K197">
        <f t="shared" si="34"/>
        <v>-0.39794863130761032</v>
      </c>
      <c r="L197">
        <f t="shared" si="35"/>
        <v>199.09650924024641</v>
      </c>
      <c r="M197">
        <f t="shared" si="36"/>
        <v>3.4748896154696141</v>
      </c>
      <c r="N197">
        <f t="shared" si="37"/>
        <v>-0.94496884623640554</v>
      </c>
      <c r="O197">
        <f t="shared" si="38"/>
        <v>0.37604905898810925</v>
      </c>
      <c r="P197">
        <f t="shared" si="39"/>
        <v>0.38552867455310996</v>
      </c>
      <c r="Q197">
        <f t="shared" si="40"/>
        <v>22.089165933165862</v>
      </c>
      <c r="R197">
        <f t="shared" si="41"/>
        <v>0.40583764146191764</v>
      </c>
      <c r="S197">
        <f t="shared" si="42"/>
        <v>6.7175876080230068E-2</v>
      </c>
      <c r="T197">
        <f t="shared" si="43"/>
        <v>1.5035698248851517</v>
      </c>
      <c r="U197">
        <f t="shared" si="44"/>
        <v>86.148205169143438</v>
      </c>
      <c r="V197">
        <f t="shared" si="45"/>
        <v>5.7432136779428955</v>
      </c>
      <c r="X197">
        <f t="shared" si="46"/>
        <v>4.4816089572037032E-2</v>
      </c>
      <c r="Y197">
        <f t="shared" si="47"/>
        <v>1.5259652215968476</v>
      </c>
      <c r="Z197">
        <f t="shared" si="48"/>
        <v>87.43136688124477</v>
      </c>
      <c r="AA197">
        <f t="shared" si="49"/>
        <v>5.8287577920829845</v>
      </c>
      <c r="AB197">
        <f t="shared" si="50"/>
        <v>12.342484415834031</v>
      </c>
    </row>
    <row r="198" spans="10:28" x14ac:dyDescent="0.3">
      <c r="J198">
        <v>193</v>
      </c>
      <c r="K198">
        <f t="shared" si="34"/>
        <v>-0.39794863130761032</v>
      </c>
      <c r="L198">
        <f t="shared" si="35"/>
        <v>200.08213552361397</v>
      </c>
      <c r="M198">
        <f t="shared" si="36"/>
        <v>3.4920920393085724</v>
      </c>
      <c r="N198">
        <f t="shared" si="37"/>
        <v>-0.93920135745320799</v>
      </c>
      <c r="O198">
        <f t="shared" si="38"/>
        <v>0.37375389472075382</v>
      </c>
      <c r="P198">
        <f t="shared" si="39"/>
        <v>0.38305294093746345</v>
      </c>
      <c r="Q198">
        <f t="shared" si="40"/>
        <v>21.947316845790652</v>
      </c>
      <c r="R198">
        <f t="shared" si="41"/>
        <v>0.4029570325380597</v>
      </c>
      <c r="S198">
        <f t="shared" si="42"/>
        <v>6.6699066123894743E-2</v>
      </c>
      <c r="T198">
        <f t="shared" si="43"/>
        <v>1.50404770665253</v>
      </c>
      <c r="U198">
        <f t="shared" si="44"/>
        <v>86.175585777520482</v>
      </c>
      <c r="V198">
        <f t="shared" si="45"/>
        <v>5.7450390518346985</v>
      </c>
      <c r="X198">
        <f t="shared" si="46"/>
        <v>4.4497987911755875E-2</v>
      </c>
      <c r="Y198">
        <f t="shared" si="47"/>
        <v>1.5262836409209795</v>
      </c>
      <c r="Z198">
        <f t="shared" si="48"/>
        <v>87.449610964632953</v>
      </c>
      <c r="AA198">
        <f t="shared" si="49"/>
        <v>5.8299740643088631</v>
      </c>
      <c r="AB198">
        <f t="shared" si="50"/>
        <v>12.340051871382274</v>
      </c>
    </row>
    <row r="199" spans="10:28" x14ac:dyDescent="0.3">
      <c r="J199">
        <v>194</v>
      </c>
      <c r="K199">
        <f t="shared" ref="K199:K262" si="51">-SIN(23.45*PI()/180)</f>
        <v>-0.39794863130761032</v>
      </c>
      <c r="L199">
        <f t="shared" ref="L199:L262" si="52">360*(J199+10)/365.25</f>
        <v>201.06776180698151</v>
      </c>
      <c r="M199">
        <f t="shared" ref="M199:M262" si="53">L199*PI()/180</f>
        <v>3.5092944631475302</v>
      </c>
      <c r="N199">
        <f t="shared" ref="N199:N262" si="54">COS(M199)</f>
        <v>-0.93315594387804335</v>
      </c>
      <c r="O199">
        <f t="shared" ref="O199:O262" si="55">K199*N199</f>
        <v>0.37134813066282857</v>
      </c>
      <c r="P199">
        <f t="shared" ref="P199:P262" si="56">ASIN(O199)</f>
        <v>0.38046055442042265</v>
      </c>
      <c r="Q199">
        <f t="shared" ref="Q199:Q262" si="57">P199*180/PI()</f>
        <v>21.798784039497594</v>
      </c>
      <c r="R199">
        <f t="shared" ref="R199:R262" si="58">TAN(P199)</f>
        <v>0.3999468466515616</v>
      </c>
      <c r="S199">
        <f t="shared" ref="S199:S262" si="59">TAN(D$19)*R199</f>
        <v>6.6200808068379136E-2</v>
      </c>
      <c r="T199">
        <f t="shared" ref="T199:T262" si="60">ACOS(S199)</f>
        <v>1.5045470684224749</v>
      </c>
      <c r="U199">
        <f t="shared" ref="U199:U262" si="61">T199*180/PI()</f>
        <v>86.204197099388509</v>
      </c>
      <c r="V199">
        <f t="shared" ref="V199:V262" si="62">U199/15</f>
        <v>5.7469464732925672</v>
      </c>
      <c r="X199">
        <f t="shared" ref="X199:X262" si="63">TAN(0.109983)*TAN(P199)</f>
        <v>4.4165577246663736E-2</v>
      </c>
      <c r="Y199">
        <f t="shared" ref="Y199:Y262" si="64">ACOS(X199)</f>
        <v>1.5266163787143676</v>
      </c>
      <c r="Z199">
        <f t="shared" ref="Z199:Z262" si="65">Y199*180/PI()</f>
        <v>87.468675435878595</v>
      </c>
      <c r="AA199">
        <f t="shared" ref="AA199:AA262" si="66">Z199/15</f>
        <v>5.8312450290585733</v>
      </c>
      <c r="AB199">
        <f t="shared" ref="AB199:AB262" si="67">24-2*AA199</f>
        <v>12.337509941882853</v>
      </c>
    </row>
    <row r="200" spans="10:28" x14ac:dyDescent="0.3">
      <c r="J200">
        <v>195</v>
      </c>
      <c r="K200">
        <f t="shared" si="51"/>
        <v>-0.39794863130761032</v>
      </c>
      <c r="L200">
        <f t="shared" si="52"/>
        <v>202.05338809034907</v>
      </c>
      <c r="M200">
        <f t="shared" si="53"/>
        <v>3.526496886986489</v>
      </c>
      <c r="N200">
        <f t="shared" si="54"/>
        <v>-0.92683439444604943</v>
      </c>
      <c r="O200">
        <f t="shared" si="55"/>
        <v>0.36883247871862318</v>
      </c>
      <c r="P200">
        <f t="shared" si="56"/>
        <v>0.37775262708365009</v>
      </c>
      <c r="Q200">
        <f t="shared" si="57"/>
        <v>21.643631231872426</v>
      </c>
      <c r="R200">
        <f t="shared" si="58"/>
        <v>0.39680915661517524</v>
      </c>
      <c r="S200">
        <f t="shared" si="59"/>
        <v>6.5681445013973452E-2</v>
      </c>
      <c r="T200">
        <f t="shared" si="60"/>
        <v>1.5050675643341704</v>
      </c>
      <c r="U200">
        <f t="shared" si="61"/>
        <v>86.234019318382465</v>
      </c>
      <c r="V200">
        <f t="shared" si="62"/>
        <v>5.7489346212254979</v>
      </c>
      <c r="X200">
        <f t="shared" si="63"/>
        <v>4.3819086474606618E-2</v>
      </c>
      <c r="Y200">
        <f t="shared" si="64"/>
        <v>1.5269632052617974</v>
      </c>
      <c r="Z200">
        <f t="shared" si="65"/>
        <v>87.488547133269407</v>
      </c>
      <c r="AA200">
        <f t="shared" si="66"/>
        <v>5.8325698088846272</v>
      </c>
      <c r="AB200">
        <f t="shared" si="67"/>
        <v>12.334860382230746</v>
      </c>
    </row>
    <row r="201" spans="10:28" x14ac:dyDescent="0.3">
      <c r="J201">
        <v>196</v>
      </c>
      <c r="K201">
        <f t="shared" si="51"/>
        <v>-0.39794863130761032</v>
      </c>
      <c r="L201">
        <f t="shared" si="52"/>
        <v>203.03901437371664</v>
      </c>
      <c r="M201">
        <f t="shared" si="53"/>
        <v>3.5436993108254482</v>
      </c>
      <c r="N201">
        <f t="shared" si="54"/>
        <v>-0.92023857980540713</v>
      </c>
      <c r="O201">
        <f t="shared" si="55"/>
        <v>0.3662076833100209</v>
      </c>
      <c r="P201">
        <f t="shared" si="56"/>
        <v>0.37493031235298352</v>
      </c>
      <c r="Q201">
        <f t="shared" si="57"/>
        <v>21.481924509347632</v>
      </c>
      <c r="R201">
        <f t="shared" si="58"/>
        <v>0.39354609295107684</v>
      </c>
      <c r="S201">
        <f t="shared" si="59"/>
        <v>6.5141329613263521E-2</v>
      </c>
      <c r="T201">
        <f t="shared" si="60"/>
        <v>1.5056088389450404</v>
      </c>
      <c r="U201">
        <f t="shared" si="61"/>
        <v>86.265032069142904</v>
      </c>
      <c r="V201">
        <f t="shared" si="62"/>
        <v>5.7510021379428604</v>
      </c>
      <c r="X201">
        <f t="shared" si="63"/>
        <v>4.3458750866202447E-2</v>
      </c>
      <c r="Y201">
        <f t="shared" si="64"/>
        <v>1.5273238844664889</v>
      </c>
      <c r="Z201">
        <f t="shared" si="65"/>
        <v>87.509212529456363</v>
      </c>
      <c r="AA201">
        <f t="shared" si="66"/>
        <v>5.8339475019637579</v>
      </c>
      <c r="AB201">
        <f t="shared" si="67"/>
        <v>12.332104996072484</v>
      </c>
    </row>
    <row r="202" spans="10:28" x14ac:dyDescent="0.3">
      <c r="J202">
        <v>197</v>
      </c>
      <c r="K202">
        <f t="shared" si="51"/>
        <v>-0.39794863130761032</v>
      </c>
      <c r="L202">
        <f t="shared" si="52"/>
        <v>204.02464065708418</v>
      </c>
      <c r="M202">
        <f t="shared" si="53"/>
        <v>3.5609017346644061</v>
      </c>
      <c r="N202">
        <f t="shared" si="54"/>
        <v>-0.91337045176378584</v>
      </c>
      <c r="O202">
        <f t="shared" si="55"/>
        <v>0.36347452115621232</v>
      </c>
      <c r="P202">
        <f t="shared" si="56"/>
        <v>0.37199480355342046</v>
      </c>
      <c r="Q202">
        <f t="shared" si="57"/>
        <v>21.313732244409152</v>
      </c>
      <c r="R202">
        <f t="shared" si="58"/>
        <v>0.39015983914200109</v>
      </c>
      <c r="S202">
        <f t="shared" si="59"/>
        <v>6.4580823285079511E-2</v>
      </c>
      <c r="T202">
        <f t="shared" si="60"/>
        <v>1.506170528027476</v>
      </c>
      <c r="U202">
        <f t="shared" si="61"/>
        <v>86.297214482965032</v>
      </c>
      <c r="V202">
        <f t="shared" si="62"/>
        <v>5.7531476321976687</v>
      </c>
      <c r="X202">
        <f t="shared" si="63"/>
        <v>4.3084811540430396E-2</v>
      </c>
      <c r="Y202">
        <f t="shared" si="64"/>
        <v>1.5276981743776648</v>
      </c>
      <c r="Z202">
        <f t="shared" si="65"/>
        <v>87.53065776168107</v>
      </c>
      <c r="AA202">
        <f t="shared" si="66"/>
        <v>5.8353771841120716</v>
      </c>
      <c r="AB202">
        <f t="shared" si="67"/>
        <v>12.329245631775857</v>
      </c>
    </row>
    <row r="203" spans="10:28" x14ac:dyDescent="0.3">
      <c r="J203">
        <v>198</v>
      </c>
      <c r="K203">
        <f t="shared" si="51"/>
        <v>-0.39794863130761032</v>
      </c>
      <c r="L203">
        <f t="shared" si="52"/>
        <v>205.01026694045174</v>
      </c>
      <c r="M203">
        <f t="shared" si="53"/>
        <v>3.5781041585033644</v>
      </c>
      <c r="N203">
        <f t="shared" si="54"/>
        <v>-0.90623204271076996</v>
      </c>
      <c r="O203">
        <f t="shared" si="55"/>
        <v>0.36063380104385079</v>
      </c>
      <c r="P203">
        <f t="shared" si="56"/>
        <v>0.36894733244460082</v>
      </c>
      <c r="Q203">
        <f t="shared" si="57"/>
        <v>21.139125011685731</v>
      </c>
      <c r="R203">
        <f t="shared" si="58"/>
        <v>0.38665262687869922</v>
      </c>
      <c r="S203">
        <f t="shared" si="59"/>
        <v>6.4000295427836043E-2</v>
      </c>
      <c r="T203">
        <f t="shared" si="60"/>
        <v>1.5067522593659626</v>
      </c>
      <c r="U203">
        <f t="shared" si="61"/>
        <v>86.330545233470829</v>
      </c>
      <c r="V203">
        <f t="shared" si="62"/>
        <v>5.7553696822313887</v>
      </c>
      <c r="X203">
        <f t="shared" si="63"/>
        <v>4.2697514939814225E-2</v>
      </c>
      <c r="Y203">
        <f t="shared" si="64"/>
        <v>1.5280858277184626</v>
      </c>
      <c r="Z203">
        <f t="shared" si="65"/>
        <v>87.552868662022945</v>
      </c>
      <c r="AA203">
        <f t="shared" si="66"/>
        <v>5.8368579108015295</v>
      </c>
      <c r="AB203">
        <f t="shared" si="67"/>
        <v>12.326284178396941</v>
      </c>
    </row>
    <row r="204" spans="10:28" x14ac:dyDescent="0.3">
      <c r="J204">
        <v>199</v>
      </c>
      <c r="K204">
        <f t="shared" si="51"/>
        <v>-0.39794863130761032</v>
      </c>
      <c r="L204">
        <f t="shared" si="52"/>
        <v>205.99589322381931</v>
      </c>
      <c r="M204">
        <f t="shared" si="53"/>
        <v>3.5953065823423231</v>
      </c>
      <c r="N204">
        <f t="shared" si="54"/>
        <v>-0.89882546501644422</v>
      </c>
      <c r="O204">
        <f t="shared" si="55"/>
        <v>0.35768636358772038</v>
      </c>
      <c r="P204">
        <f t="shared" si="56"/>
        <v>0.36578916774139658</v>
      </c>
      <c r="Q204">
        <f t="shared" si="57"/>
        <v>20.958175503184943</v>
      </c>
      <c r="R204">
        <f t="shared" si="58"/>
        <v>0.38302673132272314</v>
      </c>
      <c r="S204">
        <f t="shared" si="59"/>
        <v>6.3400122635409242E-2</v>
      </c>
      <c r="T204">
        <f t="shared" si="60"/>
        <v>1.5073536535514052</v>
      </c>
      <c r="U204">
        <f t="shared" si="61"/>
        <v>86.365002582120383</v>
      </c>
      <c r="V204">
        <f t="shared" si="62"/>
        <v>5.7576668388080252</v>
      </c>
      <c r="X204">
        <f t="shared" si="63"/>
        <v>4.2297112307298129E-2</v>
      </c>
      <c r="Y204">
        <f t="shared" si="64"/>
        <v>1.5284865924120776</v>
      </c>
      <c r="Z204">
        <f t="shared" si="65"/>
        <v>87.575830787544916</v>
      </c>
      <c r="AA204">
        <f t="shared" si="66"/>
        <v>5.8383887191696608</v>
      </c>
      <c r="AB204">
        <f t="shared" si="67"/>
        <v>12.323222561660678</v>
      </c>
    </row>
    <row r="205" spans="10:28" x14ac:dyDescent="0.3">
      <c r="J205">
        <v>200</v>
      </c>
      <c r="K205">
        <f t="shared" si="51"/>
        <v>-0.39794863130761032</v>
      </c>
      <c r="L205">
        <f t="shared" si="52"/>
        <v>206.98151950718685</v>
      </c>
      <c r="M205">
        <f t="shared" si="53"/>
        <v>3.6125090061812815</v>
      </c>
      <c r="N205">
        <f t="shared" si="54"/>
        <v>-0.89115291040630895</v>
      </c>
      <c r="O205">
        <f t="shared" si="55"/>
        <v>0.35463308098198415</v>
      </c>
      <c r="P205">
        <f t="shared" si="56"/>
        <v>0.36252161362412394</v>
      </c>
      <c r="Q205">
        <f t="shared" si="57"/>
        <v>20.770958442934624</v>
      </c>
      <c r="R205">
        <f t="shared" si="58"/>
        <v>0.37928446640274704</v>
      </c>
      <c r="S205">
        <f t="shared" si="59"/>
        <v>6.2780687918564976E-2</v>
      </c>
      <c r="T205">
        <f t="shared" si="60"/>
        <v>1.5079743247695925</v>
      </c>
      <c r="U205">
        <f t="shared" si="61"/>
        <v>86.400564423387763</v>
      </c>
      <c r="V205">
        <f t="shared" si="62"/>
        <v>5.7600376282258505</v>
      </c>
      <c r="X205">
        <f t="shared" si="63"/>
        <v>4.1883859166826E-2</v>
      </c>
      <c r="Y205">
        <f t="shared" si="64"/>
        <v>1.5289002121041109</v>
      </c>
      <c r="Z205">
        <f t="shared" si="65"/>
        <v>87.599529450221922</v>
      </c>
      <c r="AA205">
        <f t="shared" si="66"/>
        <v>5.8399686300147948</v>
      </c>
      <c r="AB205">
        <f t="shared" si="67"/>
        <v>12.32006273997041</v>
      </c>
    </row>
    <row r="206" spans="10:28" x14ac:dyDescent="0.3">
      <c r="J206">
        <v>201</v>
      </c>
      <c r="K206">
        <f t="shared" si="51"/>
        <v>-0.39794863130761032</v>
      </c>
      <c r="L206">
        <f t="shared" si="52"/>
        <v>207.96714579055441</v>
      </c>
      <c r="M206">
        <f t="shared" si="53"/>
        <v>3.6297114300202402</v>
      </c>
      <c r="N206">
        <f t="shared" si="54"/>
        <v>-0.88321664931271271</v>
      </c>
      <c r="O206">
        <f t="shared" si="55"/>
        <v>0.35147485674208767</v>
      </c>
      <c r="P206">
        <f t="shared" si="56"/>
        <v>0.35914600824278853</v>
      </c>
      <c r="Q206">
        <f t="shared" si="57"/>
        <v>20.57755050128246</v>
      </c>
      <c r="R206">
        <f t="shared" si="58"/>
        <v>0.37542818016176899</v>
      </c>
      <c r="S206">
        <f t="shared" si="59"/>
        <v>6.2142379934808999E-2</v>
      </c>
      <c r="T206">
        <f t="shared" si="60"/>
        <v>1.5086138815808849</v>
      </c>
      <c r="U206">
        <f t="shared" si="61"/>
        <v>86.437208329433659</v>
      </c>
      <c r="V206">
        <f t="shared" si="62"/>
        <v>5.7624805552955776</v>
      </c>
      <c r="X206">
        <f t="shared" si="63"/>
        <v>4.1458014809539333E-2</v>
      </c>
      <c r="Y206">
        <f t="shared" si="64"/>
        <v>1.5293264266791937</v>
      </c>
      <c r="Z206">
        <f t="shared" si="65"/>
        <v>87.623949746541143</v>
      </c>
      <c r="AA206">
        <f t="shared" si="66"/>
        <v>5.8415966497694098</v>
      </c>
      <c r="AB206">
        <f t="shared" si="67"/>
        <v>12.31680670046118</v>
      </c>
    </row>
    <row r="207" spans="10:28" x14ac:dyDescent="0.3">
      <c r="J207">
        <v>202</v>
      </c>
      <c r="K207">
        <f t="shared" si="51"/>
        <v>-0.39794863130761032</v>
      </c>
      <c r="L207">
        <f t="shared" si="52"/>
        <v>208.95277207392198</v>
      </c>
      <c r="M207">
        <f t="shared" si="53"/>
        <v>3.6469138538591985</v>
      </c>
      <c r="N207">
        <f t="shared" si="54"/>
        <v>-0.87501903020299554</v>
      </c>
      <c r="O207">
        <f t="shared" si="55"/>
        <v>0.34821262543739462</v>
      </c>
      <c r="P207">
        <f t="shared" si="56"/>
        <v>0.35566372221964637</v>
      </c>
      <c r="Q207">
        <f t="shared" si="57"/>
        <v>20.378030209099016</v>
      </c>
      <c r="R207">
        <f t="shared" si="58"/>
        <v>0.37146025017158274</v>
      </c>
      <c r="S207">
        <f t="shared" si="59"/>
        <v>6.1485592229371895E-2</v>
      </c>
      <c r="T207">
        <f t="shared" si="60"/>
        <v>1.5092719276883739</v>
      </c>
      <c r="U207">
        <f t="shared" si="61"/>
        <v>86.474911594117799</v>
      </c>
      <c r="V207">
        <f t="shared" si="62"/>
        <v>5.7649941062745196</v>
      </c>
      <c r="X207">
        <f t="shared" si="63"/>
        <v>4.101984178740372E-2</v>
      </c>
      <c r="Y207">
        <f t="shared" si="64"/>
        <v>1.5297649727700702</v>
      </c>
      <c r="Z207">
        <f t="shared" si="65"/>
        <v>87.649076586670319</v>
      </c>
      <c r="AA207">
        <f t="shared" si="66"/>
        <v>5.8432717724446883</v>
      </c>
      <c r="AB207">
        <f t="shared" si="67"/>
        <v>12.313456455110623</v>
      </c>
    </row>
    <row r="208" spans="10:28" x14ac:dyDescent="0.3">
      <c r="J208">
        <v>203</v>
      </c>
      <c r="K208">
        <f t="shared" si="51"/>
        <v>-0.39794863130761032</v>
      </c>
      <c r="L208">
        <f t="shared" si="52"/>
        <v>209.93839835728951</v>
      </c>
      <c r="M208">
        <f t="shared" si="53"/>
        <v>3.6641162776981564</v>
      </c>
      <c r="N208">
        <f t="shared" si="54"/>
        <v>-0.86656247888453897</v>
      </c>
      <c r="O208">
        <f t="shared" si="55"/>
        <v>0.34484735241463227</v>
      </c>
      <c r="P208">
        <f t="shared" si="56"/>
        <v>0.35207615715421808</v>
      </c>
      <c r="Q208">
        <f t="shared" si="57"/>
        <v>20.172477872121402</v>
      </c>
      <c r="R208">
        <f t="shared" si="58"/>
        <v>0.36738307902989353</v>
      </c>
      <c r="S208">
        <f t="shared" si="59"/>
        <v>6.0810722489873605E-2</v>
      </c>
      <c r="T208">
        <f t="shared" si="60"/>
        <v>1.5099480626919359</v>
      </c>
      <c r="U208">
        <f t="shared" si="61"/>
        <v>86.513651276202964</v>
      </c>
      <c r="V208">
        <f t="shared" si="62"/>
        <v>5.7675767517468639</v>
      </c>
      <c r="X208">
        <f t="shared" si="63"/>
        <v>4.0569605415961531E-2</v>
      </c>
      <c r="Y208">
        <f t="shared" si="64"/>
        <v>1.530215584257425</v>
      </c>
      <c r="Z208">
        <f t="shared" si="65"/>
        <v>87.674894723095875</v>
      </c>
      <c r="AA208">
        <f t="shared" si="66"/>
        <v>5.8449929815397246</v>
      </c>
      <c r="AB208">
        <f t="shared" si="67"/>
        <v>12.310014036920551</v>
      </c>
    </row>
    <row r="209" spans="10:28" x14ac:dyDescent="0.3">
      <c r="J209">
        <v>204</v>
      </c>
      <c r="K209">
        <f t="shared" si="51"/>
        <v>-0.39794863130761032</v>
      </c>
      <c r="L209">
        <f t="shared" si="52"/>
        <v>210.92402464065708</v>
      </c>
      <c r="M209">
        <f t="shared" si="53"/>
        <v>3.6813187015371156</v>
      </c>
      <c r="N209">
        <f t="shared" si="54"/>
        <v>-0.85784949778693009</v>
      </c>
      <c r="O209">
        <f t="shared" si="55"/>
        <v>0.34138003351222973</v>
      </c>
      <c r="P209">
        <f t="shared" si="56"/>
        <v>0.34838474413473663</v>
      </c>
      <c r="Q209">
        <f t="shared" si="57"/>
        <v>19.960975485665472</v>
      </c>
      <c r="R209">
        <f t="shared" si="58"/>
        <v>0.3631990899543831</v>
      </c>
      <c r="S209">
        <f t="shared" si="59"/>
        <v>6.0118171817035389E-2</v>
      </c>
      <c r="T209">
        <f t="shared" si="60"/>
        <v>1.5106418828257793</v>
      </c>
      <c r="U209">
        <f t="shared" si="61"/>
        <v>86.553404241613393</v>
      </c>
      <c r="V209">
        <f t="shared" si="62"/>
        <v>5.7702269494408931</v>
      </c>
      <c r="X209">
        <f t="shared" si="63"/>
        <v>4.0107573287790653E-2</v>
      </c>
      <c r="Y209">
        <f t="shared" si="64"/>
        <v>1.5306779927588727</v>
      </c>
      <c r="Z209">
        <f t="shared" si="65"/>
        <v>87.701388778639782</v>
      </c>
      <c r="AA209">
        <f t="shared" si="66"/>
        <v>5.8467592519093188</v>
      </c>
      <c r="AB209">
        <f t="shared" si="67"/>
        <v>12.306481496181362</v>
      </c>
    </row>
    <row r="210" spans="10:28" x14ac:dyDescent="0.3">
      <c r="J210">
        <v>205</v>
      </c>
      <c r="K210">
        <f t="shared" si="51"/>
        <v>-0.39794863130761032</v>
      </c>
      <c r="L210">
        <f t="shared" si="52"/>
        <v>211.90965092402465</v>
      </c>
      <c r="M210">
        <f t="shared" si="53"/>
        <v>3.6985211253760744</v>
      </c>
      <c r="N210">
        <f t="shared" si="54"/>
        <v>-0.84888266522145506</v>
      </c>
      <c r="O210">
        <f t="shared" si="55"/>
        <v>0.33781169476563444</v>
      </c>
      <c r="P210">
        <f t="shared" si="56"/>
        <v>0.34459094225983672</v>
      </c>
      <c r="Q210">
        <f t="shared" si="57"/>
        <v>19.743606649924885</v>
      </c>
      <c r="R210">
        <f t="shared" si="58"/>
        <v>0.35891072248692174</v>
      </c>
      <c r="S210">
        <f t="shared" si="59"/>
        <v>5.940834401362375E-2</v>
      </c>
      <c r="T210">
        <f t="shared" si="60"/>
        <v>1.5113529816772815</v>
      </c>
      <c r="U210">
        <f t="shared" si="61"/>
        <v>86.594147204621066</v>
      </c>
      <c r="V210">
        <f t="shared" si="62"/>
        <v>5.7729431469747379</v>
      </c>
      <c r="X210">
        <f t="shared" si="63"/>
        <v>3.9634014798126525E-2</v>
      </c>
      <c r="Y210">
        <f t="shared" si="64"/>
        <v>1.5311519281056409</v>
      </c>
      <c r="Z210">
        <f t="shared" si="65"/>
        <v>87.728543273771677</v>
      </c>
      <c r="AA210">
        <f t="shared" si="66"/>
        <v>5.8485695515847782</v>
      </c>
      <c r="AB210">
        <f t="shared" si="67"/>
        <v>12.302860896830444</v>
      </c>
    </row>
    <row r="211" spans="10:28" x14ac:dyDescent="0.3">
      <c r="J211">
        <v>206</v>
      </c>
      <c r="K211">
        <f t="shared" si="51"/>
        <v>-0.39794863130761032</v>
      </c>
      <c r="L211">
        <f t="shared" si="52"/>
        <v>212.89527720739218</v>
      </c>
      <c r="M211">
        <f t="shared" si="53"/>
        <v>3.7157235492150322</v>
      </c>
      <c r="N211">
        <f t="shared" si="54"/>
        <v>-0.83966463461813268</v>
      </c>
      <c r="O211">
        <f t="shared" si="55"/>
        <v>0.3341433921036906</v>
      </c>
      <c r="P211">
        <f t="shared" si="56"/>
        <v>0.34069623717410674</v>
      </c>
      <c r="Q211">
        <f t="shared" si="57"/>
        <v>19.520456486064422</v>
      </c>
      <c r="R211">
        <f t="shared" si="58"/>
        <v>0.35452042831998065</v>
      </c>
      <c r="S211">
        <f t="shared" si="59"/>
        <v>5.8681644893621432E-2</v>
      </c>
      <c r="T211">
        <f t="shared" si="60"/>
        <v>1.5120809508850941</v>
      </c>
      <c r="U211">
        <f t="shared" si="61"/>
        <v>86.635856767844217</v>
      </c>
      <c r="V211">
        <f t="shared" si="62"/>
        <v>5.7757237845229481</v>
      </c>
      <c r="X211">
        <f t="shared" si="63"/>
        <v>3.9149200683978647E-2</v>
      </c>
      <c r="Y211">
        <f t="shared" si="64"/>
        <v>1.5316371188056122</v>
      </c>
      <c r="Z211">
        <f t="shared" si="65"/>
        <v>87.756342653139029</v>
      </c>
      <c r="AA211">
        <f t="shared" si="66"/>
        <v>5.850422843542602</v>
      </c>
      <c r="AB211">
        <f t="shared" si="67"/>
        <v>12.299154312914796</v>
      </c>
    </row>
    <row r="212" spans="10:28" x14ac:dyDescent="0.3">
      <c r="J212">
        <v>207</v>
      </c>
      <c r="K212">
        <f t="shared" si="51"/>
        <v>-0.39794863130761032</v>
      </c>
      <c r="L212">
        <f t="shared" si="52"/>
        <v>213.88090349075975</v>
      </c>
      <c r="M212">
        <f t="shared" si="53"/>
        <v>3.7329259730539905</v>
      </c>
      <c r="N212">
        <f t="shared" si="54"/>
        <v>-0.83019813374052154</v>
      </c>
      <c r="O212">
        <f t="shared" si="55"/>
        <v>0.33037621103617298</v>
      </c>
      <c r="P212">
        <f t="shared" si="56"/>
        <v>0.3367021396209362</v>
      </c>
      <c r="Q212">
        <f t="shared" si="57"/>
        <v>19.291611553304222</v>
      </c>
      <c r="R212">
        <f t="shared" si="58"/>
        <v>0.35003066725615006</v>
      </c>
      <c r="S212">
        <f t="shared" si="59"/>
        <v>5.793848161343066E-2</v>
      </c>
      <c r="T212">
        <f t="shared" si="60"/>
        <v>1.5128253808147021</v>
      </c>
      <c r="U212">
        <f t="shared" si="61"/>
        <v>86.678509460953975</v>
      </c>
      <c r="V212">
        <f t="shared" si="62"/>
        <v>5.7785672973969318</v>
      </c>
      <c r="X212">
        <f t="shared" si="63"/>
        <v>3.865340257794575E-2</v>
      </c>
      <c r="Y212">
        <f t="shared" si="64"/>
        <v>1.5321332924915132</v>
      </c>
      <c r="Z212">
        <f t="shared" si="65"/>
        <v>87.784771311246601</v>
      </c>
      <c r="AA212">
        <f t="shared" si="66"/>
        <v>5.8523180874164398</v>
      </c>
      <c r="AB212">
        <f t="shared" si="67"/>
        <v>12.29536382516712</v>
      </c>
    </row>
    <row r="213" spans="10:28" x14ac:dyDescent="0.3">
      <c r="J213">
        <v>208</v>
      </c>
      <c r="K213">
        <f t="shared" si="51"/>
        <v>-0.39794863130761032</v>
      </c>
      <c r="L213">
        <f t="shared" si="52"/>
        <v>214.86652977412732</v>
      </c>
      <c r="M213">
        <f t="shared" si="53"/>
        <v>3.7501283968929493</v>
      </c>
      <c r="N213">
        <f t="shared" si="54"/>
        <v>-0.82048596387853268</v>
      </c>
      <c r="O213">
        <f t="shared" si="55"/>
        <v>0.3265112663325675</v>
      </c>
      <c r="P213">
        <f t="shared" si="56"/>
        <v>0.33261018401588843</v>
      </c>
      <c r="Q213">
        <f t="shared" si="57"/>
        <v>19.057159767180082</v>
      </c>
      <c r="R213">
        <f t="shared" si="58"/>
        <v>0.34544390331050046</v>
      </c>
      <c r="S213">
        <f t="shared" si="59"/>
        <v>5.7179262026720294E-2</v>
      </c>
      <c r="T213">
        <f t="shared" si="60"/>
        <v>1.5135858612098088</v>
      </c>
      <c r="U213">
        <f t="shared" si="61"/>
        <v>86.722081777996038</v>
      </c>
      <c r="V213">
        <f t="shared" si="62"/>
        <v>5.7814721185330695</v>
      </c>
      <c r="X213">
        <f t="shared" si="63"/>
        <v>3.8146892577804938E-2</v>
      </c>
      <c r="Y213">
        <f t="shared" si="64"/>
        <v>1.5326401763531767</v>
      </c>
      <c r="Z213">
        <f t="shared" si="65"/>
        <v>87.813813617223218</v>
      </c>
      <c r="AA213">
        <f t="shared" si="66"/>
        <v>5.8542542411482144</v>
      </c>
      <c r="AB213">
        <f t="shared" si="67"/>
        <v>12.291491517703571</v>
      </c>
    </row>
    <row r="214" spans="10:28" x14ac:dyDescent="0.3">
      <c r="J214">
        <v>209</v>
      </c>
      <c r="K214">
        <f t="shared" si="51"/>
        <v>-0.39794863130761032</v>
      </c>
      <c r="L214">
        <f t="shared" si="52"/>
        <v>215.85215605749485</v>
      </c>
      <c r="M214">
        <f t="shared" si="53"/>
        <v>3.7673308207319076</v>
      </c>
      <c r="N214">
        <f t="shared" si="54"/>
        <v>-0.81053099901948256</v>
      </c>
      <c r="O214">
        <f t="shared" si="55"/>
        <v>0.3225497016921931</v>
      </c>
      <c r="P214">
        <f t="shared" si="56"/>
        <v>0.3284219270436185</v>
      </c>
      <c r="Q214">
        <f t="shared" si="57"/>
        <v>18.817190319152772</v>
      </c>
      <c r="R214">
        <f t="shared" si="58"/>
        <v>0.34076260096436434</v>
      </c>
      <c r="S214">
        <f t="shared" si="59"/>
        <v>5.6404394064336776E-2</v>
      </c>
      <c r="T214">
        <f t="shared" si="60"/>
        <v>1.5143619818181242</v>
      </c>
      <c r="U214">
        <f t="shared" si="61"/>
        <v>86.766550213245623</v>
      </c>
      <c r="V214">
        <f t="shared" si="62"/>
        <v>5.7844366808830419</v>
      </c>
      <c r="X214">
        <f t="shared" si="63"/>
        <v>3.7629942832821985E-2</v>
      </c>
      <c r="Y214">
        <f t="shared" si="64"/>
        <v>1.5331574975529225</v>
      </c>
      <c r="Z214">
        <f t="shared" si="65"/>
        <v>87.843453938621309</v>
      </c>
      <c r="AA214">
        <f t="shared" si="66"/>
        <v>5.856230262574754</v>
      </c>
      <c r="AB214">
        <f t="shared" si="67"/>
        <v>12.287539474850492</v>
      </c>
    </row>
    <row r="215" spans="10:28" x14ac:dyDescent="0.3">
      <c r="J215">
        <v>210</v>
      </c>
      <c r="K215">
        <f t="shared" si="51"/>
        <v>-0.39794863130761032</v>
      </c>
      <c r="L215">
        <f t="shared" si="52"/>
        <v>216.83778234086242</v>
      </c>
      <c r="M215">
        <f t="shared" si="53"/>
        <v>3.7845332445708664</v>
      </c>
      <c r="N215">
        <f t="shared" si="54"/>
        <v>-0.80033618499763259</v>
      </c>
      <c r="O215">
        <f t="shared" si="55"/>
        <v>0.31849268940576231</v>
      </c>
      <c r="P215">
        <f t="shared" si="56"/>
        <v>0.32413894628114814</v>
      </c>
      <c r="Q215">
        <f t="shared" si="57"/>
        <v>18.571793597727499</v>
      </c>
      <c r="R215">
        <f t="shared" si="58"/>
        <v>0.3359892215779709</v>
      </c>
      <c r="S215">
        <f t="shared" si="59"/>
        <v>5.5614285140508972E-2</v>
      </c>
      <c r="T215">
        <f t="shared" si="60"/>
        <v>1.5151533329903228</v>
      </c>
      <c r="U215">
        <f t="shared" si="61"/>
        <v>86.811891295525328</v>
      </c>
      <c r="V215">
        <f t="shared" si="62"/>
        <v>5.7874594197016886</v>
      </c>
      <c r="X215">
        <f t="shared" si="63"/>
        <v>3.7102825147603526E-2</v>
      </c>
      <c r="Y215">
        <f t="shared" si="64"/>
        <v>1.5336849836232396</v>
      </c>
      <c r="Z215">
        <f t="shared" si="65"/>
        <v>87.873676664202421</v>
      </c>
      <c r="AA215">
        <f t="shared" si="66"/>
        <v>5.8582451109468279</v>
      </c>
      <c r="AB215">
        <f t="shared" si="67"/>
        <v>12.283509778106344</v>
      </c>
    </row>
    <row r="216" spans="10:28" x14ac:dyDescent="0.3">
      <c r="J216">
        <v>211</v>
      </c>
      <c r="K216">
        <f t="shared" si="51"/>
        <v>-0.39794863130761032</v>
      </c>
      <c r="L216">
        <f t="shared" si="52"/>
        <v>217.82340862422998</v>
      </c>
      <c r="M216">
        <f t="shared" si="53"/>
        <v>3.8017356684098251</v>
      </c>
      <c r="N216">
        <f t="shared" si="54"/>
        <v>-0.78990453862247068</v>
      </c>
      <c r="O216">
        <f t="shared" si="55"/>
        <v>0.31434143000848164</v>
      </c>
      <c r="P216">
        <f t="shared" si="56"/>
        <v>0.31976283885009416</v>
      </c>
      <c r="Q216">
        <f t="shared" si="57"/>
        <v>18.321061111232268</v>
      </c>
      <c r="R216">
        <f t="shared" si="58"/>
        <v>0.33112621996823977</v>
      </c>
      <c r="S216">
        <f t="shared" si="59"/>
        <v>5.4809341586390885E-2</v>
      </c>
      <c r="T216">
        <f t="shared" si="60"/>
        <v>1.5159595062511257</v>
      </c>
      <c r="U216">
        <f t="shared" si="61"/>
        <v>86.858081620925631</v>
      </c>
      <c r="V216">
        <f t="shared" si="62"/>
        <v>5.7905387747283754</v>
      </c>
      <c r="X216">
        <f t="shared" si="63"/>
        <v>3.6565810604187593E-2</v>
      </c>
      <c r="Y216">
        <f t="shared" si="64"/>
        <v>1.5342223628460703</v>
      </c>
      <c r="Z216">
        <f t="shared" si="65"/>
        <v>87.904466225668628</v>
      </c>
      <c r="AA216">
        <f t="shared" si="66"/>
        <v>5.8602977483779082</v>
      </c>
      <c r="AB216">
        <f t="shared" si="67"/>
        <v>12.279404503244184</v>
      </c>
    </row>
    <row r="217" spans="10:28" x14ac:dyDescent="0.3">
      <c r="J217">
        <v>212</v>
      </c>
      <c r="K217">
        <f t="shared" si="51"/>
        <v>-0.39794863130761032</v>
      </c>
      <c r="L217">
        <f t="shared" si="52"/>
        <v>218.80903490759755</v>
      </c>
      <c r="M217">
        <f t="shared" si="53"/>
        <v>3.8189380922487834</v>
      </c>
      <c r="N217">
        <f t="shared" si="54"/>
        <v>-0.7792391467859886</v>
      </c>
      <c r="O217">
        <f t="shared" si="55"/>
        <v>0.3100971519247942</v>
      </c>
      <c r="P217">
        <f t="shared" si="56"/>
        <v>0.3152952201002302</v>
      </c>
      <c r="Q217">
        <f t="shared" si="57"/>
        <v>18.065085412391554</v>
      </c>
      <c r="R217">
        <f t="shared" si="58"/>
        <v>0.32617604115694171</v>
      </c>
      <c r="S217">
        <f t="shared" si="59"/>
        <v>5.3989968111804142E-2</v>
      </c>
      <c r="T217">
        <f t="shared" si="60"/>
        <v>1.5167800948416534</v>
      </c>
      <c r="U217">
        <f t="shared" si="61"/>
        <v>86.905097883879463</v>
      </c>
      <c r="V217">
        <f t="shared" si="62"/>
        <v>5.7936731922586313</v>
      </c>
      <c r="X217">
        <f t="shared" si="63"/>
        <v>3.6019169202947461E-2</v>
      </c>
      <c r="Y217">
        <f t="shared" si="64"/>
        <v>1.5347693646131257</v>
      </c>
      <c r="Z217">
        <f t="shared" si="65"/>
        <v>87.93580711830711</v>
      </c>
      <c r="AA217">
        <f t="shared" si="66"/>
        <v>5.8623871412204744</v>
      </c>
      <c r="AB217">
        <f t="shared" si="67"/>
        <v>12.275225717559051</v>
      </c>
    </row>
    <row r="218" spans="10:28" x14ac:dyDescent="0.3">
      <c r="J218">
        <v>213</v>
      </c>
      <c r="K218">
        <f t="shared" si="51"/>
        <v>-0.39794863130761032</v>
      </c>
      <c r="L218">
        <f t="shared" si="52"/>
        <v>219.79466119096509</v>
      </c>
      <c r="M218">
        <f t="shared" si="53"/>
        <v>3.8361405160877422</v>
      </c>
      <c r="N218">
        <f t="shared" si="54"/>
        <v>-0.76834316554922</v>
      </c>
      <c r="O218">
        <f t="shared" si="55"/>
        <v>0.30576111110486875</v>
      </c>
      <c r="P218">
        <f t="shared" si="56"/>
        <v>0.31073772232654578</v>
      </c>
      <c r="Q218">
        <f t="shared" si="57"/>
        <v>17.803960024819165</v>
      </c>
      <c r="R218">
        <f t="shared" si="58"/>
        <v>0.32114111729337363</v>
      </c>
      <c r="S218">
        <f t="shared" si="59"/>
        <v>5.3156567295866819E-2</v>
      </c>
      <c r="T218">
        <f t="shared" si="60"/>
        <v>1.5176146942323681</v>
      </c>
      <c r="U218">
        <f t="shared" si="61"/>
        <v>86.952916906551607</v>
      </c>
      <c r="V218">
        <f t="shared" si="62"/>
        <v>5.7968611271034405</v>
      </c>
      <c r="X218">
        <f t="shared" si="63"/>
        <v>3.5463169522766916E-2</v>
      </c>
      <c r="Y218">
        <f t="shared" si="64"/>
        <v>1.535325719766774</v>
      </c>
      <c r="Z218">
        <f t="shared" si="65"/>
        <v>87.967683920521509</v>
      </c>
      <c r="AA218">
        <f t="shared" si="66"/>
        <v>5.8645122613681009</v>
      </c>
      <c r="AB218">
        <f t="shared" si="67"/>
        <v>12.270975477263798</v>
      </c>
    </row>
    <row r="219" spans="10:28" x14ac:dyDescent="0.3">
      <c r="J219">
        <v>214</v>
      </c>
      <c r="K219">
        <f t="shared" si="51"/>
        <v>-0.39794863130761032</v>
      </c>
      <c r="L219">
        <f t="shared" si="52"/>
        <v>220.78028747433265</v>
      </c>
      <c r="M219">
        <f t="shared" si="53"/>
        <v>3.8533429399267005</v>
      </c>
      <c r="N219">
        <f t="shared" si="54"/>
        <v>-0.75721981920831272</v>
      </c>
      <c r="O219">
        <f t="shared" si="55"/>
        <v>0.30133459065294416</v>
      </c>
      <c r="P219">
        <f t="shared" si="56"/>
        <v>0.30609199352175448</v>
      </c>
      <c r="Q219">
        <f t="shared" si="57"/>
        <v>17.537779371542268</v>
      </c>
      <c r="R219">
        <f t="shared" si="58"/>
        <v>0.31602386475467681</v>
      </c>
      <c r="S219">
        <f t="shared" si="59"/>
        <v>5.2309539107026438E-2</v>
      </c>
      <c r="T219">
        <f t="shared" si="60"/>
        <v>1.518462902606101</v>
      </c>
      <c r="U219">
        <f t="shared" si="61"/>
        <v>87.001515666514152</v>
      </c>
      <c r="V219">
        <f t="shared" si="62"/>
        <v>5.8001010444342764</v>
      </c>
      <c r="X219">
        <f t="shared" si="63"/>
        <v>3.4898078400832401E-2</v>
      </c>
      <c r="Y219">
        <f t="shared" si="64"/>
        <v>1.5358911609211612</v>
      </c>
      <c r="Z219">
        <f t="shared" si="65"/>
        <v>88.00008131223089</v>
      </c>
      <c r="AA219">
        <f t="shared" si="66"/>
        <v>5.8666720874820593</v>
      </c>
      <c r="AB219">
        <f t="shared" si="67"/>
        <v>12.266655825035881</v>
      </c>
    </row>
    <row r="220" spans="10:28" x14ac:dyDescent="0.3">
      <c r="J220">
        <v>215</v>
      </c>
      <c r="K220">
        <f t="shared" si="51"/>
        <v>-0.39794863130761032</v>
      </c>
      <c r="L220">
        <f t="shared" si="52"/>
        <v>221.76591375770022</v>
      </c>
      <c r="M220">
        <f t="shared" si="53"/>
        <v>3.8705453637656593</v>
      </c>
      <c r="N220">
        <f t="shared" si="54"/>
        <v>-0.74587239934040606</v>
      </c>
      <c r="O220">
        <f t="shared" si="55"/>
        <v>0.29681890044763792</v>
      </c>
      <c r="P220">
        <f t="shared" si="56"/>
        <v>0.30135969616598884</v>
      </c>
      <c r="Q220">
        <f t="shared" si="57"/>
        <v>17.266638705655978</v>
      </c>
      <c r="R220">
        <f t="shared" si="58"/>
        <v>0.31082668142595338</v>
      </c>
      <c r="S220">
        <f t="shared" si="59"/>
        <v>5.1449280452853956E-2</v>
      </c>
      <c r="T220">
        <f t="shared" si="60"/>
        <v>1.519324321310817</v>
      </c>
      <c r="U220">
        <f t="shared" si="61"/>
        <v>87.05087132268801</v>
      </c>
      <c r="V220">
        <f t="shared" si="62"/>
        <v>5.8033914215125337</v>
      </c>
      <c r="X220">
        <f t="shared" si="63"/>
        <v>3.4324160632280068E-2</v>
      </c>
      <c r="Y220">
        <f t="shared" si="64"/>
        <v>1.5364654227633281</v>
      </c>
      <c r="Z220">
        <f t="shared" si="65"/>
        <v>88.032984092122462</v>
      </c>
      <c r="AA220">
        <f t="shared" si="66"/>
        <v>5.8688656061414974</v>
      </c>
      <c r="AB220">
        <f t="shared" si="67"/>
        <v>12.262268787717005</v>
      </c>
    </row>
    <row r="221" spans="10:28" x14ac:dyDescent="0.3">
      <c r="J221">
        <v>216</v>
      </c>
      <c r="K221">
        <f t="shared" si="51"/>
        <v>-0.39794863130761032</v>
      </c>
      <c r="L221">
        <f t="shared" si="52"/>
        <v>222.75154004106776</v>
      </c>
      <c r="M221">
        <f t="shared" si="53"/>
        <v>3.8877477876046171</v>
      </c>
      <c r="N221">
        <f t="shared" si="54"/>
        <v>-0.73430426382960201</v>
      </c>
      <c r="O221">
        <f t="shared" si="55"/>
        <v>0.29221537675433251</v>
      </c>
      <c r="P221">
        <f t="shared" si="56"/>
        <v>0.29654250605521359</v>
      </c>
      <c r="Q221">
        <f t="shared" si="57"/>
        <v>16.990634043196398</v>
      </c>
      <c r="R221">
        <f t="shared" si="58"/>
        <v>0.30555194416141651</v>
      </c>
      <c r="S221">
        <f t="shared" si="59"/>
        <v>5.057618475980314E-2</v>
      </c>
      <c r="T221">
        <f t="shared" si="60"/>
        <v>1.5201985552819339</v>
      </c>
      <c r="U221">
        <f t="shared" si="61"/>
        <v>87.100961239539984</v>
      </c>
      <c r="V221">
        <f t="shared" si="62"/>
        <v>5.8067307493026652</v>
      </c>
      <c r="X221">
        <f t="shared" si="63"/>
        <v>3.3741678689834055E-2</v>
      </c>
      <c r="Y221">
        <f t="shared" si="64"/>
        <v>1.5370482423341958</v>
      </c>
      <c r="Z221">
        <f t="shared" si="65"/>
        <v>88.06637719375081</v>
      </c>
      <c r="AA221">
        <f t="shared" si="66"/>
        <v>5.8710918129167204</v>
      </c>
      <c r="AB221">
        <f t="shared" si="67"/>
        <v>12.257816374166559</v>
      </c>
    </row>
    <row r="222" spans="10:28" x14ac:dyDescent="0.3">
      <c r="J222">
        <v>217</v>
      </c>
      <c r="K222">
        <f t="shared" si="51"/>
        <v>-0.39794863130761032</v>
      </c>
      <c r="L222">
        <f t="shared" si="52"/>
        <v>223.73716632443532</v>
      </c>
      <c r="M222">
        <f t="shared" si="53"/>
        <v>3.9049502114435763</v>
      </c>
      <c r="N222">
        <f t="shared" si="54"/>
        <v>-0.72251883587331045</v>
      </c>
      <c r="O222">
        <f t="shared" si="55"/>
        <v>0.28752538182975185</v>
      </c>
      <c r="P222">
        <f t="shared" si="56"/>
        <v>0.29164211116968414</v>
      </c>
      <c r="Q222">
        <f t="shared" si="57"/>
        <v>16.709862098308065</v>
      </c>
      <c r="R222">
        <f t="shared" si="58"/>
        <v>0.30020200642694184</v>
      </c>
      <c r="S222">
        <f t="shared" si="59"/>
        <v>4.9690641582996214E-2</v>
      </c>
      <c r="T222">
        <f t="shared" si="60"/>
        <v>1.5210852134341484</v>
      </c>
      <c r="U222">
        <f t="shared" si="61"/>
        <v>87.151763009532729</v>
      </c>
      <c r="V222">
        <f t="shared" si="62"/>
        <v>5.8101175339688487</v>
      </c>
      <c r="X222">
        <f t="shared" si="63"/>
        <v>3.3150892463476744E-2</v>
      </c>
      <c r="Y222">
        <f t="shared" si="64"/>
        <v>1.5376393592893782</v>
      </c>
      <c r="Z222">
        <f t="shared" si="65"/>
        <v>88.100245700481395</v>
      </c>
      <c r="AA222">
        <f t="shared" si="66"/>
        <v>5.8733497133654264</v>
      </c>
      <c r="AB222">
        <f t="shared" si="67"/>
        <v>12.253300573269147</v>
      </c>
    </row>
    <row r="223" spans="10:28" x14ac:dyDescent="0.3">
      <c r="J223">
        <v>218</v>
      </c>
      <c r="K223">
        <f t="shared" si="51"/>
        <v>-0.39794863130761032</v>
      </c>
      <c r="L223">
        <f t="shared" si="52"/>
        <v>224.72279260780289</v>
      </c>
      <c r="M223">
        <f t="shared" si="53"/>
        <v>3.9221526352825347</v>
      </c>
      <c r="N223">
        <f t="shared" si="54"/>
        <v>-0.71051960296927419</v>
      </c>
      <c r="O223">
        <f t="shared" si="55"/>
        <v>0.28275030351884939</v>
      </c>
      <c r="P223">
        <f t="shared" si="56"/>
        <v>0.2866602105835831</v>
      </c>
      <c r="Q223">
        <f t="shared" si="57"/>
        <v>16.424420220770724</v>
      </c>
      <c r="R223">
        <f t="shared" si="58"/>
        <v>0.294779196123583</v>
      </c>
      <c r="S223">
        <f t="shared" si="59"/>
        <v>4.87930362459634E-2</v>
      </c>
      <c r="T223">
        <f t="shared" si="60"/>
        <v>1.5219839090228633</v>
      </c>
      <c r="U223">
        <f t="shared" si="61"/>
        <v>87.203254473833127</v>
      </c>
      <c r="V223">
        <f t="shared" si="62"/>
        <v>5.8135502982555414</v>
      </c>
      <c r="X223">
        <f t="shared" si="63"/>
        <v>3.2552059020102567E-2</v>
      </c>
      <c r="Y223">
        <f t="shared" si="64"/>
        <v>1.5382385161398826</v>
      </c>
      <c r="Z223">
        <f t="shared" si="65"/>
        <v>88.134574859281628</v>
      </c>
      <c r="AA223">
        <f t="shared" si="66"/>
        <v>5.8756383239521082</v>
      </c>
      <c r="AB223">
        <f t="shared" si="67"/>
        <v>12.248723352095784</v>
      </c>
    </row>
    <row r="224" spans="10:28" x14ac:dyDescent="0.3">
      <c r="J224">
        <v>219</v>
      </c>
      <c r="K224">
        <f t="shared" si="51"/>
        <v>-0.39794863130761032</v>
      </c>
      <c r="L224">
        <f t="shared" si="52"/>
        <v>225.70841889117042</v>
      </c>
      <c r="M224">
        <f t="shared" si="53"/>
        <v>3.9393550591214925</v>
      </c>
      <c r="N224">
        <f t="shared" si="54"/>
        <v>-0.6983101158835584</v>
      </c>
      <c r="O224">
        <f t="shared" si="55"/>
        <v>0.27789155484412081</v>
      </c>
      <c r="P224">
        <f t="shared" si="56"/>
        <v>0.28159851341677022</v>
      </c>
      <c r="Q224">
        <f t="shared" si="57"/>
        <v>16.134406335939023</v>
      </c>
      <c r="R224">
        <f t="shared" si="58"/>
        <v>0.28928581359085603</v>
      </c>
      <c r="S224">
        <f t="shared" si="59"/>
        <v>4.7883749510138539E-2</v>
      </c>
      <c r="T224">
        <f t="shared" si="60"/>
        <v>1.5228942599754354</v>
      </c>
      <c r="U224">
        <f t="shared" si="61"/>
        <v>87.255413741291207</v>
      </c>
      <c r="V224">
        <f t="shared" si="62"/>
        <v>5.8170275827527469</v>
      </c>
      <c r="X224">
        <f t="shared" si="63"/>
        <v>3.194543238302347E-2</v>
      </c>
      <c r="Y224">
        <f t="shared" si="64"/>
        <v>1.5388454584728293</v>
      </c>
      <c r="Z224">
        <f t="shared" si="65"/>
        <v>88.169350093367314</v>
      </c>
      <c r="AA224">
        <f t="shared" si="66"/>
        <v>5.8779566728911545</v>
      </c>
      <c r="AB224">
        <f t="shared" si="67"/>
        <v>12.244086654217691</v>
      </c>
    </row>
    <row r="225" spans="10:28" x14ac:dyDescent="0.3">
      <c r="J225">
        <v>220</v>
      </c>
      <c r="K225">
        <f t="shared" si="51"/>
        <v>-0.39794863130761032</v>
      </c>
      <c r="L225">
        <f t="shared" si="52"/>
        <v>226.69404517453799</v>
      </c>
      <c r="M225">
        <f t="shared" si="53"/>
        <v>3.9565574829604513</v>
      </c>
      <c r="N225">
        <f t="shared" si="54"/>
        <v>-0.68589398759982267</v>
      </c>
      <c r="O225">
        <f t="shared" si="55"/>
        <v>0.27295057358746849</v>
      </c>
      <c r="P225">
        <f t="shared" si="56"/>
        <v>0.276458737829406</v>
      </c>
      <c r="Q225">
        <f t="shared" si="57"/>
        <v>15.839918887138678</v>
      </c>
      <c r="R225">
        <f t="shared" si="58"/>
        <v>0.28372412978792028</v>
      </c>
      <c r="S225">
        <f t="shared" si="59"/>
        <v>4.6963157273800862E-2</v>
      </c>
      <c r="T225">
        <f t="shared" si="60"/>
        <v>1.5238158891925728</v>
      </c>
      <c r="U225">
        <f t="shared" si="61"/>
        <v>87.308219205709136</v>
      </c>
      <c r="V225">
        <f t="shared" si="62"/>
        <v>5.8205479470472756</v>
      </c>
      <c r="X225">
        <f t="shared" si="63"/>
        <v>3.1331263331119234E-2</v>
      </c>
      <c r="Y225">
        <f t="shared" si="64"/>
        <v>1.5394599351524112</v>
      </c>
      <c r="Z225">
        <f t="shared" si="65"/>
        <v>88.204557013716567</v>
      </c>
      <c r="AA225">
        <f t="shared" si="66"/>
        <v>5.8803038009144375</v>
      </c>
      <c r="AB225">
        <f t="shared" si="67"/>
        <v>12.239392398171125</v>
      </c>
    </row>
    <row r="226" spans="10:28" x14ac:dyDescent="0.3">
      <c r="J226">
        <v>221</v>
      </c>
      <c r="K226">
        <f t="shared" si="51"/>
        <v>-0.39794863130761032</v>
      </c>
      <c r="L226">
        <f t="shared" si="52"/>
        <v>227.67967145790556</v>
      </c>
      <c r="M226">
        <f t="shared" si="53"/>
        <v>3.9737599067994096</v>
      </c>
      <c r="N226">
        <f t="shared" si="54"/>
        <v>-0.67327489225018333</v>
      </c>
      <c r="O226">
        <f t="shared" si="55"/>
        <v>0.26792882186473926</v>
      </c>
      <c r="P226">
        <f t="shared" si="56"/>
        <v>0.27124261006002576</v>
      </c>
      <c r="Q226">
        <f t="shared" si="57"/>
        <v>15.541056780552202</v>
      </c>
      <c r="R226">
        <f t="shared" si="58"/>
        <v>0.27809638465014613</v>
      </c>
      <c r="S226">
        <f t="shared" si="59"/>
        <v>4.603163030004747E-2</v>
      </c>
      <c r="T226">
        <f t="shared" si="60"/>
        <v>1.5247484248203256</v>
      </c>
      <c r="U226">
        <f t="shared" si="61"/>
        <v>87.361649561424954</v>
      </c>
      <c r="V226">
        <f t="shared" si="62"/>
        <v>5.8241099707616639</v>
      </c>
      <c r="X226">
        <f t="shared" si="63"/>
        <v>3.0709799217355532E-2</v>
      </c>
      <c r="Y226">
        <f t="shared" si="64"/>
        <v>1.5400816985013692</v>
      </c>
      <c r="Z226">
        <f t="shared" si="65"/>
        <v>88.240181429467782</v>
      </c>
      <c r="AA226">
        <f t="shared" si="66"/>
        <v>5.8826787619645184</v>
      </c>
      <c r="AB226">
        <f t="shared" si="67"/>
        <v>12.234642476070963</v>
      </c>
    </row>
    <row r="227" spans="10:28" x14ac:dyDescent="0.3">
      <c r="J227">
        <v>222</v>
      </c>
      <c r="K227">
        <f t="shared" si="51"/>
        <v>-0.39794863130761032</v>
      </c>
      <c r="L227">
        <f t="shared" si="52"/>
        <v>228.66529774127309</v>
      </c>
      <c r="M227">
        <f t="shared" si="53"/>
        <v>3.9909623306383684</v>
      </c>
      <c r="N227">
        <f t="shared" si="54"/>
        <v>-0.66045656402797537</v>
      </c>
      <c r="O227">
        <f t="shared" si="55"/>
        <v>0.26282778569305992</v>
      </c>
      <c r="P227">
        <f t="shared" si="56"/>
        <v>0.26595186350747396</v>
      </c>
      <c r="Q227">
        <f t="shared" si="57"/>
        <v>15.237919332617594</v>
      </c>
      <c r="R227">
        <f t="shared" si="58"/>
        <v>0.27240478561799386</v>
      </c>
      <c r="S227">
        <f t="shared" si="59"/>
        <v>4.5089533973287466E-2</v>
      </c>
      <c r="T227">
        <f t="shared" si="60"/>
        <v>1.5256915004931975</v>
      </c>
      <c r="U227">
        <f t="shared" si="61"/>
        <v>87.41568381724197</v>
      </c>
      <c r="V227">
        <f t="shared" si="62"/>
        <v>5.8277122544827984</v>
      </c>
      <c r="X227">
        <f t="shared" si="63"/>
        <v>3.0081283806330034E-2</v>
      </c>
      <c r="Y227">
        <f t="shared" si="64"/>
        <v>1.5407105044633387</v>
      </c>
      <c r="Z227">
        <f t="shared" si="65"/>
        <v>88.27620935722129</v>
      </c>
      <c r="AA227">
        <f t="shared" si="66"/>
        <v>5.8850806238147531</v>
      </c>
      <c r="AB227">
        <f t="shared" si="67"/>
        <v>12.229838752370494</v>
      </c>
    </row>
    <row r="228" spans="10:28" x14ac:dyDescent="0.3">
      <c r="J228">
        <v>223</v>
      </c>
      <c r="K228">
        <f t="shared" si="51"/>
        <v>-0.39794863130761032</v>
      </c>
      <c r="L228">
        <f t="shared" si="52"/>
        <v>229.65092402464066</v>
      </c>
      <c r="M228">
        <f t="shared" si="53"/>
        <v>4.0081647544773267</v>
      </c>
      <c r="N228">
        <f t="shared" si="54"/>
        <v>-0.64744279608274746</v>
      </c>
      <c r="O228">
        <f t="shared" si="55"/>
        <v>0.25764897455110158</v>
      </c>
      <c r="P228">
        <f t="shared" si="56"/>
        <v>0.26058823785695512</v>
      </c>
      <c r="Q228">
        <f t="shared" si="57"/>
        <v>14.930606219954754</v>
      </c>
      <c r="R228">
        <f t="shared" si="58"/>
        <v>0.26665150633462864</v>
      </c>
      <c r="S228">
        <f t="shared" si="59"/>
        <v>4.4137228083665929E-2</v>
      </c>
      <c r="T228">
        <f t="shared" si="60"/>
        <v>1.5266447555489979</v>
      </c>
      <c r="U228">
        <f t="shared" si="61"/>
        <v>87.47030130873884</v>
      </c>
      <c r="V228">
        <f t="shared" si="62"/>
        <v>5.8313534205825892</v>
      </c>
      <c r="X228">
        <f t="shared" si="63"/>
        <v>2.9445957130451856E-2</v>
      </c>
      <c r="Y228">
        <f t="shared" si="64"/>
        <v>1.5413461127464594</v>
      </c>
      <c r="Z228">
        <f t="shared" si="65"/>
        <v>88.312627029267659</v>
      </c>
      <c r="AA228">
        <f t="shared" si="66"/>
        <v>5.8875084686178436</v>
      </c>
      <c r="AB228">
        <f t="shared" si="67"/>
        <v>12.224983062764313</v>
      </c>
    </row>
    <row r="229" spans="10:28" x14ac:dyDescent="0.3">
      <c r="J229">
        <v>224</v>
      </c>
      <c r="K229">
        <f t="shared" si="51"/>
        <v>-0.39794863130761032</v>
      </c>
      <c r="L229">
        <f t="shared" si="52"/>
        <v>230.63655030800822</v>
      </c>
      <c r="M229">
        <f t="shared" si="53"/>
        <v>4.0253671783162854</v>
      </c>
      <c r="N229">
        <f t="shared" si="54"/>
        <v>-0.63423743939780541</v>
      </c>
      <c r="O229">
        <f t="shared" si="55"/>
        <v>0.2523939209324001</v>
      </c>
      <c r="P229">
        <f t="shared" si="56"/>
        <v>0.25515347825029572</v>
      </c>
      <c r="Q229">
        <f t="shared" si="57"/>
        <v>14.619217431824989</v>
      </c>
      <c r="R229">
        <f t="shared" si="58"/>
        <v>0.26083868550823686</v>
      </c>
      <c r="S229">
        <f t="shared" si="59"/>
        <v>4.3175066638749988E-2</v>
      </c>
      <c r="T229">
        <f t="shared" si="60"/>
        <v>1.527607835216126</v>
      </c>
      <c r="U229">
        <f t="shared" si="61"/>
        <v>87.525481709000147</v>
      </c>
      <c r="V229">
        <f t="shared" si="62"/>
        <v>5.8350321139333428</v>
      </c>
      <c r="X229">
        <f t="shared" si="63"/>
        <v>2.8804055364308703E-2</v>
      </c>
      <c r="Y229">
        <f t="shared" si="64"/>
        <v>1.5419882869487123</v>
      </c>
      <c r="Z229">
        <f t="shared" si="65"/>
        <v>88.349420900768948</v>
      </c>
      <c r="AA229">
        <f t="shared" si="66"/>
        <v>5.8899613933845965</v>
      </c>
      <c r="AB229">
        <f t="shared" si="67"/>
        <v>12.220077213230807</v>
      </c>
    </row>
    <row r="230" spans="10:28" x14ac:dyDescent="0.3">
      <c r="J230">
        <v>225</v>
      </c>
      <c r="K230">
        <f t="shared" si="51"/>
        <v>-0.39794863130761032</v>
      </c>
      <c r="L230">
        <f t="shared" si="52"/>
        <v>231.62217659137576</v>
      </c>
      <c r="M230">
        <f t="shared" si="53"/>
        <v>4.0425696021552442</v>
      </c>
      <c r="N230">
        <f t="shared" si="54"/>
        <v>-0.62084440165064625</v>
      </c>
      <c r="O230">
        <f t="shared" si="55"/>
        <v>0.24706417989186696</v>
      </c>
      <c r="P230">
        <f t="shared" si="56"/>
        <v>0.24964933450038168</v>
      </c>
      <c r="Q230">
        <f t="shared" si="57"/>
        <v>14.303853225121603</v>
      </c>
      <c r="R230">
        <f t="shared" si="58"/>
        <v>0.25496842593463159</v>
      </c>
      <c r="S230">
        <f t="shared" si="59"/>
        <v>4.2203397701746533E-2</v>
      </c>
      <c r="T230">
        <f t="shared" si="60"/>
        <v>1.5285803907740383</v>
      </c>
      <c r="U230">
        <f t="shared" si="61"/>
        <v>87.58120503781052</v>
      </c>
      <c r="V230">
        <f t="shared" si="62"/>
        <v>5.8387470025207016</v>
      </c>
      <c r="X230">
        <f t="shared" si="63"/>
        <v>2.815581071673456E-2</v>
      </c>
      <c r="Y230">
        <f t="shared" si="64"/>
        <v>1.5426367946654664</v>
      </c>
      <c r="Z230">
        <f t="shared" si="65"/>
        <v>88.386577655920618</v>
      </c>
      <c r="AA230">
        <f t="shared" si="66"/>
        <v>5.8924385103947081</v>
      </c>
      <c r="AB230">
        <f t="shared" si="67"/>
        <v>12.215122979210584</v>
      </c>
    </row>
    <row r="231" spans="10:28" x14ac:dyDescent="0.3">
      <c r="J231">
        <v>226</v>
      </c>
      <c r="K231">
        <f t="shared" si="51"/>
        <v>-0.39794863130761032</v>
      </c>
      <c r="L231">
        <f t="shared" si="52"/>
        <v>232.60780287474333</v>
      </c>
      <c r="M231">
        <f t="shared" si="53"/>
        <v>4.0597720259942021</v>
      </c>
      <c r="N231">
        <f t="shared" si="54"/>
        <v>-0.60726764605661354</v>
      </c>
      <c r="O231">
        <f t="shared" si="55"/>
        <v>0.2416613285856237</v>
      </c>
      <c r="P231">
        <f t="shared" si="56"/>
        <v>0.24407756034959277</v>
      </c>
      <c r="Q231">
        <f t="shared" si="57"/>
        <v>13.984614081881311</v>
      </c>
      <c r="R231">
        <f t="shared" si="58"/>
        <v>0.24904279367538906</v>
      </c>
      <c r="S231">
        <f t="shared" si="59"/>
        <v>4.1222563255464049E-2</v>
      </c>
      <c r="T231">
        <f t="shared" si="60"/>
        <v>1.5295620796877187</v>
      </c>
      <c r="U231">
        <f t="shared" si="61"/>
        <v>87.637451669359194</v>
      </c>
      <c r="V231">
        <f t="shared" si="62"/>
        <v>5.8424967779572796</v>
      </c>
      <c r="X231">
        <f t="shared" si="63"/>
        <v>2.7501451340052434E-2</v>
      </c>
      <c r="Y231">
        <f t="shared" si="64"/>
        <v>1.5432914075797783</v>
      </c>
      <c r="Z231">
        <f t="shared" si="65"/>
        <v>88.42408421312544</v>
      </c>
      <c r="AA231">
        <f t="shared" si="66"/>
        <v>5.8949389475416956</v>
      </c>
      <c r="AB231">
        <f t="shared" si="67"/>
        <v>12.210122104916609</v>
      </c>
    </row>
    <row r="232" spans="10:28" x14ac:dyDescent="0.3">
      <c r="J232">
        <v>227</v>
      </c>
      <c r="K232">
        <f t="shared" si="51"/>
        <v>-0.39794863130761032</v>
      </c>
      <c r="L232">
        <f t="shared" si="52"/>
        <v>233.59342915811089</v>
      </c>
      <c r="M232">
        <f t="shared" si="53"/>
        <v>4.0769744498331608</v>
      </c>
      <c r="N232">
        <f t="shared" si="54"/>
        <v>-0.59351119019611498</v>
      </c>
      <c r="O232">
        <f t="shared" si="55"/>
        <v>0.23618696580429474</v>
      </c>
      <c r="P232">
        <f t="shared" si="56"/>
        <v>0.23843991277193649</v>
      </c>
      <c r="Q232">
        <f t="shared" si="57"/>
        <v>13.661600669299453</v>
      </c>
      <c r="R232">
        <f t="shared" si="58"/>
        <v>0.24306381738648417</v>
      </c>
      <c r="S232">
        <f t="shared" si="59"/>
        <v>4.0232899091185687E-2</v>
      </c>
      <c r="T232">
        <f t="shared" si="60"/>
        <v>1.530552565716998</v>
      </c>
      <c r="U232">
        <f t="shared" si="61"/>
        <v>87.694202338503572</v>
      </c>
      <c r="V232">
        <f t="shared" si="62"/>
        <v>5.8462801559002378</v>
      </c>
      <c r="X232">
        <f t="shared" si="63"/>
        <v>2.6841201255936489E-2</v>
      </c>
      <c r="Y232">
        <f t="shared" si="64"/>
        <v>1.5439519015360004</v>
      </c>
      <c r="Z232">
        <f t="shared" si="65"/>
        <v>88.461927729210871</v>
      </c>
      <c r="AA232">
        <f t="shared" si="66"/>
        <v>5.897461848614058</v>
      </c>
      <c r="AB232">
        <f t="shared" si="67"/>
        <v>12.205076302771884</v>
      </c>
    </row>
    <row r="233" spans="10:28" x14ac:dyDescent="0.3">
      <c r="J233">
        <v>228</v>
      </c>
      <c r="K233">
        <f t="shared" si="51"/>
        <v>-0.39794863130761032</v>
      </c>
      <c r="L233">
        <f t="shared" si="52"/>
        <v>234.57905544147843</v>
      </c>
      <c r="M233">
        <f t="shared" si="53"/>
        <v>4.0941768736721187</v>
      </c>
      <c r="N233">
        <f t="shared" si="54"/>
        <v>-0.57957910482576125</v>
      </c>
      <c r="O233">
        <f t="shared" si="55"/>
        <v>0.2306427114999017</v>
      </c>
      <c r="P233">
        <f t="shared" si="56"/>
        <v>0.23273815131847159</v>
      </c>
      <c r="Q233">
        <f t="shared" si="57"/>
        <v>13.334913802225538</v>
      </c>
      <c r="R233">
        <f t="shared" si="58"/>
        <v>0.2370334877921623</v>
      </c>
      <c r="S233">
        <f t="shared" si="59"/>
        <v>3.9234734721582426E-2</v>
      </c>
      <c r="T233">
        <f t="shared" si="60"/>
        <v>1.5315515190016262</v>
      </c>
      <c r="U233">
        <f t="shared" si="61"/>
        <v>87.751438145643476</v>
      </c>
      <c r="V233">
        <f t="shared" si="62"/>
        <v>5.8500958763762316</v>
      </c>
      <c r="X233">
        <f t="shared" si="63"/>
        <v>2.6175280297312462E-2</v>
      </c>
      <c r="Y233">
        <f t="shared" si="64"/>
        <v>1.5446180565972873</v>
      </c>
      <c r="Z233">
        <f t="shared" si="65"/>
        <v>88.500095602723889</v>
      </c>
      <c r="AA233">
        <f t="shared" si="66"/>
        <v>5.900006373514926</v>
      </c>
      <c r="AB233">
        <f t="shared" si="67"/>
        <v>12.199987252970148</v>
      </c>
    </row>
    <row r="234" spans="10:28" x14ac:dyDescent="0.3">
      <c r="J234">
        <v>229</v>
      </c>
      <c r="K234">
        <f t="shared" si="51"/>
        <v>-0.39794863130761032</v>
      </c>
      <c r="L234">
        <f t="shared" si="52"/>
        <v>235.564681724846</v>
      </c>
      <c r="M234">
        <f t="shared" si="53"/>
        <v>4.1113792975110774</v>
      </c>
      <c r="N234">
        <f t="shared" si="54"/>
        <v>-0.56547551267375762</v>
      </c>
      <c r="O234">
        <f t="shared" si="55"/>
        <v>0.22503020630649109</v>
      </c>
      <c r="P234">
        <f t="shared" si="56"/>
        <v>0.22697403750549455</v>
      </c>
      <c r="Q234">
        <f t="shared" si="57"/>
        <v>13.004654408108895</v>
      </c>
      <c r="R234">
        <f t="shared" si="58"/>
        <v>0.23095375729859371</v>
      </c>
      <c r="S234">
        <f t="shared" si="59"/>
        <v>3.8228393316763566E-2</v>
      </c>
      <c r="T234">
        <f t="shared" si="60"/>
        <v>1.5325586161230167</v>
      </c>
      <c r="U234">
        <f t="shared" si="61"/>
        <v>87.809140560258939</v>
      </c>
      <c r="V234">
        <f t="shared" si="62"/>
        <v>5.8539427040172622</v>
      </c>
      <c r="X234">
        <f t="shared" si="63"/>
        <v>2.5503904065694031E-2</v>
      </c>
      <c r="Y234">
        <f t="shared" si="64"/>
        <v>1.5452896570876131</v>
      </c>
      <c r="Z234">
        <f t="shared" si="65"/>
        <v>88.53857547633848</v>
      </c>
      <c r="AA234">
        <f t="shared" si="66"/>
        <v>5.9025716984225651</v>
      </c>
      <c r="AB234">
        <f t="shared" si="67"/>
        <v>12.19485660315487</v>
      </c>
    </row>
    <row r="235" spans="10:28" x14ac:dyDescent="0.3">
      <c r="J235">
        <v>230</v>
      </c>
      <c r="K235">
        <f t="shared" si="51"/>
        <v>-0.39794863130761032</v>
      </c>
      <c r="L235">
        <f t="shared" si="52"/>
        <v>236.55030800821356</v>
      </c>
      <c r="M235">
        <f t="shared" si="53"/>
        <v>4.1285817213500362</v>
      </c>
      <c r="N235">
        <f t="shared" si="54"/>
        <v>-0.55120458721992771</v>
      </c>
      <c r="O235">
        <f t="shared" si="55"/>
        <v>0.21935111105464655</v>
      </c>
      <c r="P235">
        <f t="shared" si="56"/>
        <v>0.22114933424488098</v>
      </c>
      <c r="Q235">
        <f t="shared" si="57"/>
        <v>12.670923494359647</v>
      </c>
      <c r="R235">
        <f t="shared" si="58"/>
        <v>0.22482653974173483</v>
      </c>
      <c r="S235">
        <f t="shared" si="59"/>
        <v>3.7214191662541737E-2</v>
      </c>
      <c r="T235">
        <f t="shared" si="60"/>
        <v>1.5335735401436101</v>
      </c>
      <c r="U235">
        <f t="shared" si="61"/>
        <v>87.867291423165398</v>
      </c>
      <c r="V235">
        <f t="shared" si="62"/>
        <v>5.8578194282110267</v>
      </c>
      <c r="X235">
        <f t="shared" si="63"/>
        <v>2.4827283903339492E-2</v>
      </c>
      <c r="Y235">
        <f t="shared" si="64"/>
        <v>1.5459664916189151</v>
      </c>
      <c r="Z235">
        <f t="shared" si="65"/>
        <v>88.577355238410789</v>
      </c>
      <c r="AA235">
        <f t="shared" si="66"/>
        <v>5.9051570158940523</v>
      </c>
      <c r="AB235">
        <f t="shared" si="67"/>
        <v>12.189685968211895</v>
      </c>
    </row>
    <row r="236" spans="10:28" x14ac:dyDescent="0.3">
      <c r="J236">
        <v>231</v>
      </c>
      <c r="K236">
        <f t="shared" si="51"/>
        <v>-0.39794863130761032</v>
      </c>
      <c r="L236">
        <f t="shared" si="52"/>
        <v>237.5359342915811</v>
      </c>
      <c r="M236">
        <f t="shared" si="53"/>
        <v>4.1457841451889941</v>
      </c>
      <c r="N236">
        <f t="shared" si="54"/>
        <v>-0.53677055146071107</v>
      </c>
      <c r="O236">
        <f t="shared" si="55"/>
        <v>0.21360710628002119</v>
      </c>
      <c r="P236">
        <f t="shared" si="56"/>
        <v>0.215265805315868</v>
      </c>
      <c r="Q236">
        <f t="shared" si="57"/>
        <v>12.333822118084077</v>
      </c>
      <c r="R236">
        <f t="shared" si="58"/>
        <v>0.21865371026370772</v>
      </c>
      <c r="S236">
        <f t="shared" si="59"/>
        <v>3.6192440139970729E-2</v>
      </c>
      <c r="T236">
        <f t="shared" si="60"/>
        <v>1.5345959806248193</v>
      </c>
      <c r="U236">
        <f t="shared" si="61"/>
        <v>87.925872947542004</v>
      </c>
      <c r="V236">
        <f t="shared" si="62"/>
        <v>5.8617248631694672</v>
      </c>
      <c r="X236">
        <f t="shared" si="63"/>
        <v>2.4145626879600524E-2</v>
      </c>
      <c r="Y236">
        <f t="shared" si="64"/>
        <v>1.5466483531040036</v>
      </c>
      <c r="Z236">
        <f t="shared" si="65"/>
        <v>88.616423023718895</v>
      </c>
      <c r="AA236">
        <f t="shared" si="66"/>
        <v>5.9077615349145933</v>
      </c>
      <c r="AB236">
        <f t="shared" si="67"/>
        <v>12.184476930170813</v>
      </c>
    </row>
    <row r="237" spans="10:28" x14ac:dyDescent="0.3">
      <c r="J237">
        <v>232</v>
      </c>
      <c r="K237">
        <f t="shared" si="51"/>
        <v>-0.39794863130761032</v>
      </c>
      <c r="L237">
        <f t="shared" si="52"/>
        <v>238.52156057494867</v>
      </c>
      <c r="M237">
        <f t="shared" si="53"/>
        <v>4.1629865690279528</v>
      </c>
      <c r="N237">
        <f t="shared" si="54"/>
        <v>-0.52217767665950876</v>
      </c>
      <c r="O237">
        <f t="shared" si="55"/>
        <v>0.20779989172603941</v>
      </c>
      <c r="P237">
        <f t="shared" si="56"/>
        <v>0.20932521487749525</v>
      </c>
      <c r="Q237">
        <f t="shared" si="57"/>
        <v>11.993451358149549</v>
      </c>
      <c r="R237">
        <f t="shared" si="58"/>
        <v>0.21243710531196672</v>
      </c>
      <c r="S237">
        <f t="shared" si="59"/>
        <v>3.5163442725207557E-2</v>
      </c>
      <c r="T237">
        <f t="shared" si="60"/>
        <v>1.5356256336245235</v>
      </c>
      <c r="U237">
        <f t="shared" si="61"/>
        <v>87.984867718788038</v>
      </c>
      <c r="V237">
        <f t="shared" si="62"/>
        <v>5.865657847919203</v>
      </c>
      <c r="X237">
        <f t="shared" si="63"/>
        <v>2.3459135790830147E-2</v>
      </c>
      <c r="Y237">
        <f t="shared" si="64"/>
        <v>1.5473350387558751</v>
      </c>
      <c r="Z237">
        <f t="shared" si="65"/>
        <v>88.655767213423303</v>
      </c>
      <c r="AA237">
        <f t="shared" si="66"/>
        <v>5.9103844808948871</v>
      </c>
      <c r="AB237">
        <f t="shared" si="67"/>
        <v>12.179231038210226</v>
      </c>
    </row>
    <row r="238" spans="10:28" x14ac:dyDescent="0.3">
      <c r="J238">
        <v>233</v>
      </c>
      <c r="K238">
        <f t="shared" si="51"/>
        <v>-0.39794863130761032</v>
      </c>
      <c r="L238">
        <f t="shared" si="52"/>
        <v>239.50718685831623</v>
      </c>
      <c r="M238">
        <f t="shared" si="53"/>
        <v>4.1801889928669116</v>
      </c>
      <c r="N238">
        <f t="shared" si="54"/>
        <v>-0.50743028108275179</v>
      </c>
      <c r="O238">
        <f t="shared" si="55"/>
        <v>0.20193118584091707</v>
      </c>
      <c r="P238">
        <f t="shared" si="56"/>
        <v>0.20332932702084688</v>
      </c>
      <c r="Q238">
        <f t="shared" si="57"/>
        <v>11.649912289529855</v>
      </c>
      <c r="R238">
        <f t="shared" si="58"/>
        <v>0.20617852275549683</v>
      </c>
      <c r="S238">
        <f t="shared" si="59"/>
        <v>3.4127497008746059E-2</v>
      </c>
      <c r="T238">
        <f t="shared" si="60"/>
        <v>1.5366622016750853</v>
      </c>
      <c r="U238">
        <f t="shared" si="61"/>
        <v>88.04425869326333</v>
      </c>
      <c r="V238">
        <f t="shared" si="62"/>
        <v>5.8696172462175555</v>
      </c>
      <c r="X238">
        <f t="shared" si="63"/>
        <v>2.2768009173214362E-2</v>
      </c>
      <c r="Y238">
        <f t="shared" si="64"/>
        <v>1.5480263500740681</v>
      </c>
      <c r="Z238">
        <f t="shared" si="65"/>
        <v>88.695376434285393</v>
      </c>
      <c r="AA238">
        <f t="shared" si="66"/>
        <v>5.9130250956190258</v>
      </c>
      <c r="AB238">
        <f t="shared" si="67"/>
        <v>12.173949808761948</v>
      </c>
    </row>
    <row r="239" spans="10:28" x14ac:dyDescent="0.3">
      <c r="J239">
        <v>234</v>
      </c>
      <c r="K239">
        <f t="shared" si="51"/>
        <v>-0.39794863130761032</v>
      </c>
      <c r="L239">
        <f t="shared" si="52"/>
        <v>240.49281314168377</v>
      </c>
      <c r="M239">
        <f t="shared" si="53"/>
        <v>4.1973914167058703</v>
      </c>
      <c r="N239">
        <f t="shared" si="54"/>
        <v>-0.49253272872205434</v>
      </c>
      <c r="O239">
        <f t="shared" si="55"/>
        <v>0.19600272526914406</v>
      </c>
      <c r="P239">
        <f t="shared" si="56"/>
        <v>0.19727990536016526</v>
      </c>
      <c r="Q239">
        <f t="shared" si="57"/>
        <v>11.303305959877775</v>
      </c>
      <c r="R239">
        <f t="shared" si="58"/>
        <v>0.19987972211229516</v>
      </c>
      <c r="S239">
        <f t="shared" si="59"/>
        <v>3.3084894233070566E-2</v>
      </c>
      <c r="T239">
        <f t="shared" si="60"/>
        <v>1.5377053937428562</v>
      </c>
      <c r="U239">
        <f t="shared" si="61"/>
        <v>88.104029195968124</v>
      </c>
      <c r="V239">
        <f t="shared" si="62"/>
        <v>5.8736019463978746</v>
      </c>
      <c r="X239">
        <f t="shared" si="63"/>
        <v>2.20724413278926E-2</v>
      </c>
      <c r="Y239">
        <f t="shared" si="64"/>
        <v>1.5487220928187053</v>
      </c>
      <c r="Z239">
        <f t="shared" si="65"/>
        <v>88.735239557179952</v>
      </c>
      <c r="AA239">
        <f t="shared" si="66"/>
        <v>5.9156826371453297</v>
      </c>
      <c r="AB239">
        <f t="shared" si="67"/>
        <v>12.168634725709341</v>
      </c>
    </row>
    <row r="240" spans="10:28" x14ac:dyDescent="0.3">
      <c r="J240">
        <v>235</v>
      </c>
      <c r="K240">
        <f t="shared" si="51"/>
        <v>-0.39794863130761032</v>
      </c>
      <c r="L240">
        <f t="shared" si="52"/>
        <v>241.47843942505133</v>
      </c>
      <c r="M240">
        <f t="shared" si="53"/>
        <v>4.2145938405448282</v>
      </c>
      <c r="N240">
        <f t="shared" si="54"/>
        <v>-0.47748942800283911</v>
      </c>
      <c r="O240">
        <f t="shared" si="55"/>
        <v>0.19001626433758356</v>
      </c>
      <c r="P240">
        <f t="shared" si="56"/>
        <v>0.19117871266185782</v>
      </c>
      <c r="Q240">
        <f t="shared" si="57"/>
        <v>10.953733368268725</v>
      </c>
      <c r="R240">
        <f t="shared" si="58"/>
        <v>0.19354242488243703</v>
      </c>
      <c r="S240">
        <f t="shared" si="59"/>
        <v>3.2035919347786344E-2</v>
      </c>
      <c r="T240">
        <f t="shared" si="60"/>
        <v>1.5387549251701347</v>
      </c>
      <c r="U240">
        <f t="shared" si="61"/>
        <v>88.164162917217524</v>
      </c>
      <c r="V240">
        <f t="shared" si="62"/>
        <v>5.8776108611478346</v>
      </c>
      <c r="X240">
        <f t="shared" si="63"/>
        <v>2.1372622357737771E-2</v>
      </c>
      <c r="Y240">
        <f t="shared" si="64"/>
        <v>1.5494220769728524</v>
      </c>
      <c r="Z240">
        <f t="shared" si="65"/>
        <v>88.775345694938622</v>
      </c>
      <c r="AA240">
        <f t="shared" si="66"/>
        <v>5.9183563796625744</v>
      </c>
      <c r="AB240">
        <f t="shared" si="67"/>
        <v>12.163287240674851</v>
      </c>
    </row>
    <row r="241" spans="10:28" x14ac:dyDescent="0.3">
      <c r="J241">
        <v>236</v>
      </c>
      <c r="K241">
        <f t="shared" si="51"/>
        <v>-0.39794863130761032</v>
      </c>
      <c r="L241">
        <f t="shared" si="52"/>
        <v>242.4640657084189</v>
      </c>
      <c r="M241">
        <f t="shared" si="53"/>
        <v>4.231796264383787</v>
      </c>
      <c r="N241">
        <f t="shared" si="54"/>
        <v>-0.46230483047981086</v>
      </c>
      <c r="O241">
        <f t="shared" si="55"/>
        <v>0.18397357453633753</v>
      </c>
      <c r="P241">
        <f t="shared" si="56"/>
        <v>0.18502751051036151</v>
      </c>
      <c r="Q241">
        <f t="shared" si="57"/>
        <v>10.601295446056195</v>
      </c>
      <c r="R241">
        <f t="shared" si="58"/>
        <v>0.18716831498109102</v>
      </c>
      <c r="S241">
        <f t="shared" si="59"/>
        <v>3.0980851081293951E-2</v>
      </c>
      <c r="T241">
        <f t="shared" si="60"/>
        <v>1.5398105176005223</v>
      </c>
      <c r="U241">
        <f t="shared" si="61"/>
        <v>88.224643908364698</v>
      </c>
      <c r="V241">
        <f t="shared" si="62"/>
        <v>5.8816429272243136</v>
      </c>
      <c r="X241">
        <f t="shared" si="63"/>
        <v>2.0668738215173493E-2</v>
      </c>
      <c r="Y241">
        <f t="shared" si="64"/>
        <v>1.5501261166938234</v>
      </c>
      <c r="Z241">
        <f t="shared" si="65"/>
        <v>88.815684199559826</v>
      </c>
      <c r="AA241">
        <f t="shared" si="66"/>
        <v>5.9210456133039884</v>
      </c>
      <c r="AB241">
        <f t="shared" si="67"/>
        <v>12.157908773392023</v>
      </c>
    </row>
    <row r="242" spans="10:28" x14ac:dyDescent="0.3">
      <c r="J242">
        <v>237</v>
      </c>
      <c r="K242">
        <f t="shared" si="51"/>
        <v>-0.39794863130761032</v>
      </c>
      <c r="L242">
        <f t="shared" si="52"/>
        <v>243.44969199178644</v>
      </c>
      <c r="M242">
        <f t="shared" si="53"/>
        <v>4.2489986882227448</v>
      </c>
      <c r="N242">
        <f t="shared" si="54"/>
        <v>-0.44698342951967496</v>
      </c>
      <c r="O242">
        <f t="shared" si="55"/>
        <v>0.17787644399453637</v>
      </c>
      <c r="P242">
        <f t="shared" si="56"/>
        <v>0.1788280590097916</v>
      </c>
      <c r="Q242">
        <f t="shared" si="57"/>
        <v>10.246093039777495</v>
      </c>
      <c r="R242">
        <f t="shared" si="58"/>
        <v>0.18075903926594594</v>
      </c>
      <c r="S242">
        <f t="shared" si="59"/>
        <v>2.9919962028091097E-2</v>
      </c>
      <c r="T242">
        <f t="shared" si="60"/>
        <v>1.5408718988886105</v>
      </c>
      <c r="U242">
        <f t="shared" si="61"/>
        <v>88.285456576626302</v>
      </c>
      <c r="V242">
        <f t="shared" si="62"/>
        <v>5.8856971051084201</v>
      </c>
      <c r="X242">
        <f t="shared" si="63"/>
        <v>1.996097076041714E-2</v>
      </c>
      <c r="Y242">
        <f t="shared" si="64"/>
        <v>1.5508340302540473</v>
      </c>
      <c r="Z242">
        <f t="shared" si="65"/>
        <v>88.856244658820742</v>
      </c>
      <c r="AA242">
        <f t="shared" si="66"/>
        <v>5.9237496439213828</v>
      </c>
      <c r="AB242">
        <f t="shared" si="67"/>
        <v>12.152500712157234</v>
      </c>
    </row>
    <row r="243" spans="10:28" x14ac:dyDescent="0.3">
      <c r="J243">
        <v>238</v>
      </c>
      <c r="K243">
        <f t="shared" si="51"/>
        <v>-0.39794863130761032</v>
      </c>
      <c r="L243">
        <f t="shared" si="52"/>
        <v>244.435318275154</v>
      </c>
      <c r="M243">
        <f t="shared" si="53"/>
        <v>4.2662011120617045</v>
      </c>
      <c r="N243">
        <f t="shared" si="54"/>
        <v>-0.43152975897147067</v>
      </c>
      <c r="O243">
        <f t="shared" si="55"/>
        <v>0.17172667695119972</v>
      </c>
      <c r="P243">
        <f t="shared" si="56"/>
        <v>0.17258211652024982</v>
      </c>
      <c r="Q243">
        <f t="shared" si="57"/>
        <v>9.8882268960453157</v>
      </c>
      <c r="R243">
        <f t="shared" si="58"/>
        <v>0.17431620815361215</v>
      </c>
      <c r="S243">
        <f t="shared" si="59"/>
        <v>2.8853518750801849E-2</v>
      </c>
      <c r="T243">
        <f t="shared" si="60"/>
        <v>1.5419388029949084</v>
      </c>
      <c r="U243">
        <f t="shared" si="61"/>
        <v>88.346585679062358</v>
      </c>
      <c r="V243">
        <f t="shared" si="62"/>
        <v>5.8897723786041576</v>
      </c>
      <c r="X243">
        <f t="shared" si="63"/>
        <v>1.9249497829548174E-2</v>
      </c>
      <c r="Y243">
        <f t="shared" si="64"/>
        <v>1.5515456399720993</v>
      </c>
      <c r="Z243">
        <f t="shared" si="65"/>
        <v>88.89701689232561</v>
      </c>
      <c r="AA243">
        <f t="shared" si="66"/>
        <v>5.9264677928217075</v>
      </c>
      <c r="AB243">
        <f t="shared" si="67"/>
        <v>12.147064414356585</v>
      </c>
    </row>
    <row r="244" spans="10:28" x14ac:dyDescent="0.3">
      <c r="J244">
        <v>239</v>
      </c>
      <c r="K244">
        <f t="shared" si="51"/>
        <v>-0.39794863130761032</v>
      </c>
      <c r="L244">
        <f t="shared" si="52"/>
        <v>245.42094455852157</v>
      </c>
      <c r="M244">
        <f t="shared" si="53"/>
        <v>4.2834035359006624</v>
      </c>
      <c r="N244">
        <f t="shared" si="54"/>
        <v>-0.41594839182494209</v>
      </c>
      <c r="O244">
        <f t="shared" si="55"/>
        <v>0.16552609322133732</v>
      </c>
      <c r="P244">
        <f t="shared" si="56"/>
        <v>0.1662914394276564</v>
      </c>
      <c r="Q244">
        <f t="shared" si="57"/>
        <v>9.5277976483600852</v>
      </c>
      <c r="R244">
        <f t="shared" si="58"/>
        <v>0.16784139631971273</v>
      </c>
      <c r="S244">
        <f t="shared" si="59"/>
        <v>2.7781781896058552E-2</v>
      </c>
      <c r="T244">
        <f t="shared" si="60"/>
        <v>1.5430109698669043</v>
      </c>
      <c r="U244">
        <f t="shared" si="61"/>
        <v>88.408016315761458</v>
      </c>
      <c r="V244">
        <f t="shared" si="62"/>
        <v>5.8938677543840976</v>
      </c>
      <c r="X244">
        <f t="shared" si="63"/>
        <v>1.8534493311818268E-2</v>
      </c>
      <c r="Y244">
        <f t="shared" si="64"/>
        <v>1.5522607721344854</v>
      </c>
      <c r="Z244">
        <f t="shared" si="65"/>
        <v>88.937990947024403</v>
      </c>
      <c r="AA244">
        <f t="shared" si="66"/>
        <v>5.9291993964682934</v>
      </c>
      <c r="AB244">
        <f t="shared" si="67"/>
        <v>12.141601207063413</v>
      </c>
    </row>
    <row r="245" spans="10:28" x14ac:dyDescent="0.3">
      <c r="J245">
        <v>240</v>
      </c>
      <c r="K245">
        <f t="shared" si="51"/>
        <v>-0.39794863130761032</v>
      </c>
      <c r="L245">
        <f t="shared" si="52"/>
        <v>246.40657084188911</v>
      </c>
      <c r="M245">
        <f t="shared" si="53"/>
        <v>4.3006059597396211</v>
      </c>
      <c r="N245">
        <f t="shared" si="54"/>
        <v>-0.40024393885730558</v>
      </c>
      <c r="O245">
        <f t="shared" si="55"/>
        <v>0.15927652765743164</v>
      </c>
      <c r="P245">
        <f t="shared" si="56"/>
        <v>0.15995778194591354</v>
      </c>
      <c r="Q245">
        <f t="shared" si="57"/>
        <v>9.1649058057747634</v>
      </c>
      <c r="R245">
        <f t="shared" si="58"/>
        <v>0.16133614347749553</v>
      </c>
      <c r="S245">
        <f t="shared" si="59"/>
        <v>2.6705006323380791E-2</v>
      </c>
      <c r="T245">
        <f t="shared" si="60"/>
        <v>1.5440881453071202</v>
      </c>
      <c r="U245">
        <f t="shared" si="61"/>
        <v>88.46973392228098</v>
      </c>
      <c r="V245">
        <f t="shared" si="62"/>
        <v>5.8979822614853985</v>
      </c>
      <c r="X245">
        <f t="shared" si="63"/>
        <v>1.7816127235632327E-2</v>
      </c>
      <c r="Y245">
        <f t="shared" si="64"/>
        <v>1.5529792569087544</v>
      </c>
      <c r="Z245">
        <f t="shared" si="65"/>
        <v>88.979157092234416</v>
      </c>
      <c r="AA245">
        <f t="shared" si="66"/>
        <v>5.9319438061489613</v>
      </c>
      <c r="AB245">
        <f t="shared" si="67"/>
        <v>12.136112387702077</v>
      </c>
    </row>
    <row r="246" spans="10:28" x14ac:dyDescent="0.3">
      <c r="J246">
        <v>241</v>
      </c>
      <c r="K246">
        <f t="shared" si="51"/>
        <v>-0.39794863130761032</v>
      </c>
      <c r="L246">
        <f t="shared" si="52"/>
        <v>247.39219712525667</v>
      </c>
      <c r="M246">
        <f t="shared" si="53"/>
        <v>4.317808383578579</v>
      </c>
      <c r="N246">
        <f t="shared" si="54"/>
        <v>-0.38442104726885629</v>
      </c>
      <c r="O246">
        <f t="shared" si="55"/>
        <v>0.15297982960647952</v>
      </c>
      <c r="P246">
        <f t="shared" si="56"/>
        <v>0.15358289595021893</v>
      </c>
      <c r="Q246">
        <f t="shared" si="57"/>
        <v>8.7996517433444073</v>
      </c>
      <c r="R246">
        <f t="shared" si="58"/>
        <v>0.15480195522999043</v>
      </c>
      <c r="S246">
        <f t="shared" si="59"/>
        <v>2.562344124622792E-2</v>
      </c>
      <c r="T246">
        <f t="shared" si="60"/>
        <v>1.5451700808289988</v>
      </c>
      <c r="U246">
        <f t="shared" si="61"/>
        <v>88.531724261389911</v>
      </c>
      <c r="V246">
        <f t="shared" si="62"/>
        <v>5.9021149507593273</v>
      </c>
      <c r="X246">
        <f t="shared" si="63"/>
        <v>1.7094565862651061E-2</v>
      </c>
      <c r="Y246">
        <f t="shared" si="64"/>
        <v>1.5537009282484877</v>
      </c>
      <c r="Z246">
        <f t="shared" si="65"/>
        <v>89.020505814196682</v>
      </c>
      <c r="AA246">
        <f t="shared" si="66"/>
        <v>5.9347003876131117</v>
      </c>
      <c r="AB246">
        <f t="shared" si="67"/>
        <v>12.130599224773777</v>
      </c>
    </row>
    <row r="247" spans="10:28" x14ac:dyDescent="0.3">
      <c r="J247">
        <v>242</v>
      </c>
      <c r="K247">
        <f t="shared" si="51"/>
        <v>-0.39794863130761032</v>
      </c>
      <c r="L247">
        <f t="shared" si="52"/>
        <v>248.37782340862424</v>
      </c>
      <c r="M247">
        <f t="shared" si="53"/>
        <v>4.3350108074175377</v>
      </c>
      <c r="N247">
        <f t="shared" si="54"/>
        <v>-0.36848439930777932</v>
      </c>
      <c r="O247">
        <f t="shared" si="55"/>
        <v>0.14663786236273774</v>
      </c>
      <c r="P247">
        <f t="shared" si="56"/>
        <v>0.14716853084029838</v>
      </c>
      <c r="Q247">
        <f t="shared" si="57"/>
        <v>8.4321356942899914</v>
      </c>
      <c r="R247">
        <f t="shared" si="58"/>
        <v>0.14824030399087182</v>
      </c>
      <c r="S247">
        <f t="shared" si="59"/>
        <v>2.4537330384423888E-2</v>
      </c>
      <c r="T247">
        <f t="shared" si="60"/>
        <v>1.5462565335014282</v>
      </c>
      <c r="U247">
        <f t="shared" si="61"/>
        <v>88.593973414160828</v>
      </c>
      <c r="V247">
        <f t="shared" si="62"/>
        <v>5.9062648942773883</v>
      </c>
      <c r="X247">
        <f t="shared" si="63"/>
        <v>1.636997178948054E-2</v>
      </c>
      <c r="Y247">
        <f t="shared" si="64"/>
        <v>1.554425623790707</v>
      </c>
      <c r="Z247">
        <f t="shared" si="65"/>
        <v>89.062027810197804</v>
      </c>
      <c r="AA247">
        <f t="shared" si="66"/>
        <v>5.9374685206798539</v>
      </c>
      <c r="AB247">
        <f t="shared" si="67"/>
        <v>12.125062958640292</v>
      </c>
    </row>
    <row r="248" spans="10:28" x14ac:dyDescent="0.3">
      <c r="J248">
        <v>243</v>
      </c>
      <c r="K248">
        <f t="shared" si="51"/>
        <v>-0.39794863130761032</v>
      </c>
      <c r="L248">
        <f t="shared" si="52"/>
        <v>249.36344969199178</v>
      </c>
      <c r="M248">
        <f t="shared" si="53"/>
        <v>4.3522132312564965</v>
      </c>
      <c r="N248">
        <f t="shared" si="54"/>
        <v>-0.35243871088460327</v>
      </c>
      <c r="O248">
        <f t="shared" si="55"/>
        <v>0.14025250261634645</v>
      </c>
      <c r="P248">
        <f t="shared" si="56"/>
        <v>0.14071643343233836</v>
      </c>
      <c r="Q248">
        <f t="shared" si="57"/>
        <v>8.0624577438065845</v>
      </c>
      <c r="R248">
        <f t="shared" si="58"/>
        <v>0.1416526299693901</v>
      </c>
      <c r="S248">
        <f t="shared" si="59"/>
        <v>2.3446912127187063E-2</v>
      </c>
      <c r="T248">
        <f t="shared" si="60"/>
        <v>1.5473472657826841</v>
      </c>
      <c r="U248">
        <f t="shared" si="61"/>
        <v>88.65646777045545</v>
      </c>
      <c r="V248">
        <f t="shared" si="62"/>
        <v>5.9104311846970301</v>
      </c>
      <c r="X248">
        <f t="shared" si="63"/>
        <v>1.5642504056436832E-2</v>
      </c>
      <c r="Y248">
        <f t="shared" si="64"/>
        <v>1.5551531847462103</v>
      </c>
      <c r="Z248">
        <f t="shared" si="65"/>
        <v>89.103713982286649</v>
      </c>
      <c r="AA248">
        <f t="shared" si="66"/>
        <v>5.9402475988191101</v>
      </c>
      <c r="AB248">
        <f t="shared" si="67"/>
        <v>12.11950480236178</v>
      </c>
    </row>
    <row r="249" spans="10:28" x14ac:dyDescent="0.3">
      <c r="J249">
        <v>244</v>
      </c>
      <c r="K249">
        <f t="shared" si="51"/>
        <v>-0.39794863130761032</v>
      </c>
      <c r="L249">
        <f t="shared" si="52"/>
        <v>250.34907597535934</v>
      </c>
      <c r="M249">
        <f t="shared" si="53"/>
        <v>4.3694156550954553</v>
      </c>
      <c r="N249">
        <f t="shared" si="54"/>
        <v>-0.33628873017668287</v>
      </c>
      <c r="O249">
        <f t="shared" si="55"/>
        <v>0.13382563989798521</v>
      </c>
      <c r="P249">
        <f t="shared" si="56"/>
        <v>0.13422834787837029</v>
      </c>
      <c r="Q249">
        <f t="shared" si="57"/>
        <v>7.6907178244444161</v>
      </c>
      <c r="R249">
        <f t="shared" si="58"/>
        <v>0.1350403422148993</v>
      </c>
      <c r="S249">
        <f t="shared" si="59"/>
        <v>2.2352419706024654E-2</v>
      </c>
      <c r="T249">
        <f t="shared" si="60"/>
        <v>1.5484420453445318</v>
      </c>
      <c r="U249">
        <f t="shared" si="61"/>
        <v>88.719194018846508</v>
      </c>
      <c r="V249">
        <f t="shared" si="62"/>
        <v>5.9146129345897673</v>
      </c>
      <c r="X249">
        <f t="shared" si="63"/>
        <v>1.4912318262891732E-2</v>
      </c>
      <c r="Y249">
        <f t="shared" si="64"/>
        <v>1.5558834557833368</v>
      </c>
      <c r="Z249">
        <f t="shared" si="65"/>
        <v>89.145555430614635</v>
      </c>
      <c r="AA249">
        <f t="shared" si="66"/>
        <v>5.9430370287076419</v>
      </c>
      <c r="AB249">
        <f t="shared" si="67"/>
        <v>12.113925942584716</v>
      </c>
    </row>
    <row r="250" spans="10:28" x14ac:dyDescent="0.3">
      <c r="J250">
        <v>245</v>
      </c>
      <c r="K250">
        <f t="shared" si="51"/>
        <v>-0.39794863130761032</v>
      </c>
      <c r="L250">
        <f t="shared" si="52"/>
        <v>251.33470225872691</v>
      </c>
      <c r="M250">
        <f t="shared" si="53"/>
        <v>4.3866180789344131</v>
      </c>
      <c r="N250">
        <f t="shared" si="54"/>
        <v>-0.32003923622313857</v>
      </c>
      <c r="O250">
        <f t="shared" si="55"/>
        <v>0.12735917601973099</v>
      </c>
      <c r="P250">
        <f t="shared" si="56"/>
        <v>0.12770601561186373</v>
      </c>
      <c r="Q250">
        <f t="shared" si="57"/>
        <v>7.3170157129915934</v>
      </c>
      <c r="R250">
        <f t="shared" si="58"/>
        <v>0.12840481971670681</v>
      </c>
      <c r="S250">
        <f t="shared" si="59"/>
        <v>2.1254081376784226E-2</v>
      </c>
      <c r="T250">
        <f t="shared" si="60"/>
        <v>1.5495406448872036</v>
      </c>
      <c r="U250">
        <f t="shared" si="61"/>
        <v>88.78213913601661</v>
      </c>
      <c r="V250">
        <f t="shared" si="62"/>
        <v>5.918809275734441</v>
      </c>
      <c r="X250">
        <f t="shared" si="63"/>
        <v>1.4179566688727642E-2</v>
      </c>
      <c r="Y250">
        <f t="shared" si="64"/>
        <v>1.5566162849056298</v>
      </c>
      <c r="Z250">
        <f t="shared" si="65"/>
        <v>89.187543446426304</v>
      </c>
      <c r="AA250">
        <f t="shared" si="66"/>
        <v>5.9458362297617535</v>
      </c>
      <c r="AB250">
        <f t="shared" si="67"/>
        <v>12.108327540476493</v>
      </c>
    </row>
    <row r="251" spans="10:28" x14ac:dyDescent="0.3">
      <c r="J251">
        <v>246</v>
      </c>
      <c r="K251">
        <f t="shared" si="51"/>
        <v>-0.39794863130761032</v>
      </c>
      <c r="L251">
        <f t="shared" si="52"/>
        <v>252.32032854209444</v>
      </c>
      <c r="M251">
        <f t="shared" si="53"/>
        <v>4.4038205027733719</v>
      </c>
      <c r="N251">
        <f t="shared" si="54"/>
        <v>-0.30369503751065885</v>
      </c>
      <c r="O251">
        <f t="shared" si="55"/>
        <v>0.12085502451228007</v>
      </c>
      <c r="P251">
        <f t="shared" si="56"/>
        <v>0.12115117531827507</v>
      </c>
      <c r="Q251">
        <f t="shared" si="57"/>
        <v>6.9414510287866698</v>
      </c>
      <c r="R251">
        <f t="shared" si="58"/>
        <v>0.12174741255515366</v>
      </c>
      <c r="S251">
        <f t="shared" si="59"/>
        <v>2.0152120610185165E-2</v>
      </c>
      <c r="T251">
        <f t="shared" si="60"/>
        <v>1.550642841945935</v>
      </c>
      <c r="U251">
        <f t="shared" si="61"/>
        <v>88.845290375673656</v>
      </c>
      <c r="V251">
        <f t="shared" si="62"/>
        <v>5.9230193583782436</v>
      </c>
      <c r="X251">
        <f t="shared" si="63"/>
        <v>1.3444398421449793E-2</v>
      </c>
      <c r="Y251">
        <f t="shared" si="64"/>
        <v>1.5573515233238544</v>
      </c>
      <c r="Z251">
        <f t="shared" si="65"/>
        <v>89.229669504726445</v>
      </c>
      <c r="AA251">
        <f t="shared" si="66"/>
        <v>5.9486446336484295</v>
      </c>
      <c r="AB251">
        <f t="shared" si="67"/>
        <v>12.102710732703141</v>
      </c>
    </row>
    <row r="252" spans="10:28" x14ac:dyDescent="0.3">
      <c r="J252">
        <v>247</v>
      </c>
      <c r="K252">
        <f t="shared" si="51"/>
        <v>-0.39794863130761032</v>
      </c>
      <c r="L252">
        <f t="shared" si="52"/>
        <v>253.30595482546201</v>
      </c>
      <c r="M252">
        <f t="shared" si="53"/>
        <v>4.4210229266123307</v>
      </c>
      <c r="N252">
        <f t="shared" si="54"/>
        <v>-0.28726097055059635</v>
      </c>
      <c r="O252">
        <f t="shared" si="55"/>
        <v>0.11431511005870558</v>
      </c>
      <c r="P252">
        <f t="shared" si="56"/>
        <v>0.11456556292930312</v>
      </c>
      <c r="Q252">
        <f t="shared" si="57"/>
        <v>6.564123233389509</v>
      </c>
      <c r="R252">
        <f t="shared" si="58"/>
        <v>0.11506944310002901</v>
      </c>
      <c r="S252">
        <f t="shared" si="59"/>
        <v>1.904675629018502E-2</v>
      </c>
      <c r="T252">
        <f t="shared" si="60"/>
        <v>1.5517484186897048</v>
      </c>
      <c r="U252">
        <f t="shared" si="61"/>
        <v>88.908635257019483</v>
      </c>
      <c r="V252">
        <f t="shared" si="62"/>
        <v>5.9272423504679654</v>
      </c>
      <c r="X252">
        <f t="shared" si="63"/>
        <v>1.2706959488525486E-2</v>
      </c>
      <c r="Y252">
        <f t="shared" si="64"/>
        <v>1.5580890253227997</v>
      </c>
      <c r="Z252">
        <f t="shared" si="65"/>
        <v>89.271925256648473</v>
      </c>
      <c r="AA252">
        <f t="shared" si="66"/>
        <v>5.9514616837765653</v>
      </c>
      <c r="AB252">
        <f t="shared" si="67"/>
        <v>12.097076632446869</v>
      </c>
    </row>
    <row r="253" spans="10:28" x14ac:dyDescent="0.3">
      <c r="J253">
        <v>248</v>
      </c>
      <c r="K253">
        <f t="shared" si="51"/>
        <v>-0.39794863130761032</v>
      </c>
      <c r="L253">
        <f t="shared" si="52"/>
        <v>254.29158110882958</v>
      </c>
      <c r="M253">
        <f t="shared" si="53"/>
        <v>4.4382253504512894</v>
      </c>
      <c r="N253">
        <f t="shared" si="54"/>
        <v>-0.27074189844776336</v>
      </c>
      <c r="O253">
        <f t="shared" si="55"/>
        <v>0.10774136792491146</v>
      </c>
      <c r="P253">
        <f t="shared" si="56"/>
        <v>0.10795091163959496</v>
      </c>
      <c r="Q253">
        <f t="shared" si="57"/>
        <v>6.1851316315384643</v>
      </c>
      <c r="R253">
        <f t="shared" si="58"/>
        <v>0.10837220725260149</v>
      </c>
      <c r="S253">
        <f t="shared" si="59"/>
        <v>1.7938202919565549E-2</v>
      </c>
      <c r="T253">
        <f t="shared" si="60"/>
        <v>1.5528571617127993</v>
      </c>
      <c r="U253">
        <f t="shared" si="61"/>
        <v>88.972161552807378</v>
      </c>
      <c r="V253">
        <f t="shared" si="62"/>
        <v>5.9314774368538252</v>
      </c>
      <c r="X253">
        <f t="shared" si="63"/>
        <v>1.1967392994539902E-2</v>
      </c>
      <c r="Y253">
        <f t="shared" si="64"/>
        <v>1.5588286481232758</v>
      </c>
      <c r="Z253">
        <f t="shared" si="65"/>
        <v>89.31430252154739</v>
      </c>
      <c r="AA253">
        <f t="shared" si="66"/>
        <v>5.9542868347698263</v>
      </c>
      <c r="AB253">
        <f t="shared" si="67"/>
        <v>12.091426330460347</v>
      </c>
    </row>
    <row r="254" spans="10:28" x14ac:dyDescent="0.3">
      <c r="J254">
        <v>249</v>
      </c>
      <c r="K254">
        <f t="shared" si="51"/>
        <v>-0.39794863130761032</v>
      </c>
      <c r="L254">
        <f t="shared" si="52"/>
        <v>255.27720739219711</v>
      </c>
      <c r="M254">
        <f t="shared" si="53"/>
        <v>4.4554277742902473</v>
      </c>
      <c r="N254">
        <f t="shared" si="54"/>
        <v>-0.25414270946136219</v>
      </c>
      <c r="O254">
        <f t="shared" si="55"/>
        <v>0.10113574338695676</v>
      </c>
      <c r="P254">
        <f t="shared" si="56"/>
        <v>0.10130895194465823</v>
      </c>
      <c r="Q254">
        <f t="shared" si="57"/>
        <v>5.8045753733225904</v>
      </c>
      <c r="R254">
        <f t="shared" si="58"/>
        <v>0.10165697572774603</v>
      </c>
      <c r="S254">
        <f t="shared" si="59"/>
        <v>1.6826670832155478E-2</v>
      </c>
      <c r="T254">
        <f t="shared" si="60"/>
        <v>1.5539688618197878</v>
      </c>
      <c r="U254">
        <f t="shared" si="61"/>
        <v>89.035857277022046</v>
      </c>
      <c r="V254">
        <f t="shared" si="62"/>
        <v>5.9357238184681362</v>
      </c>
      <c r="X254">
        <f t="shared" si="63"/>
        <v>1.1225839262779588E-2</v>
      </c>
      <c r="Y254">
        <f t="shared" si="64"/>
        <v>1.5595702517396981</v>
      </c>
      <c r="Z254">
        <f t="shared" si="65"/>
        <v>89.356793278840044</v>
      </c>
      <c r="AA254">
        <f t="shared" si="66"/>
        <v>5.9571195519226698</v>
      </c>
      <c r="AB254">
        <f t="shared" si="67"/>
        <v>12.08576089615466</v>
      </c>
    </row>
    <row r="255" spans="10:28" x14ac:dyDescent="0.3">
      <c r="J255">
        <v>250</v>
      </c>
      <c r="K255">
        <f t="shared" si="51"/>
        <v>-0.39794863130761032</v>
      </c>
      <c r="L255">
        <f t="shared" si="52"/>
        <v>256.26283367556471</v>
      </c>
      <c r="M255">
        <f t="shared" si="53"/>
        <v>4.472630198129206</v>
      </c>
      <c r="N255">
        <f t="shared" si="54"/>
        <v>-0.23746831555846756</v>
      </c>
      <c r="O255">
        <f t="shared" si="55"/>
        <v>9.4500191155415872E-2</v>
      </c>
      <c r="P255">
        <f t="shared" si="56"/>
        <v>9.4641411698732691E-2</v>
      </c>
      <c r="Q255">
        <f t="shared" si="57"/>
        <v>5.4225534574974379</v>
      </c>
      <c r="R255">
        <f t="shared" si="58"/>
        <v>9.4924995372818316E-2</v>
      </c>
      <c r="S255">
        <f t="shared" si="59"/>
        <v>1.5712366411135915E-2</v>
      </c>
      <c r="T255">
        <f t="shared" si="60"/>
        <v>1.5550833138044604</v>
      </c>
      <c r="U255">
        <f t="shared" si="61"/>
        <v>89.099710672213774</v>
      </c>
      <c r="V255">
        <f t="shared" si="62"/>
        <v>5.939980711480918</v>
      </c>
      <c r="X255">
        <f t="shared" si="63"/>
        <v>1.0482435980873948E-2</v>
      </c>
      <c r="Y255">
        <f t="shared" si="64"/>
        <v>1.5603136988336275</v>
      </c>
      <c r="Z255">
        <f t="shared" si="65"/>
        <v>89.399389659613448</v>
      </c>
      <c r="AA255">
        <f t="shared" si="66"/>
        <v>5.9599593106408966</v>
      </c>
      <c r="AB255">
        <f t="shared" si="67"/>
        <v>12.080081378718207</v>
      </c>
    </row>
    <row r="256" spans="10:28" x14ac:dyDescent="0.3">
      <c r="J256">
        <v>251</v>
      </c>
      <c r="K256">
        <f t="shared" si="51"/>
        <v>-0.39794863130761032</v>
      </c>
      <c r="L256">
        <f t="shared" si="52"/>
        <v>257.24845995893224</v>
      </c>
      <c r="M256">
        <f t="shared" si="53"/>
        <v>4.4898326219681648</v>
      </c>
      <c r="N256">
        <f t="shared" si="54"/>
        <v>-0.22072365096050134</v>
      </c>
      <c r="O256">
        <f t="shared" si="55"/>
        <v>8.7836674796950218E-2</v>
      </c>
      <c r="P256">
        <f t="shared" si="56"/>
        <v>8.7950016191388022E-2</v>
      </c>
      <c r="Q256">
        <f t="shared" si="57"/>
        <v>5.0391647358737881</v>
      </c>
      <c r="R256">
        <f t="shared" si="58"/>
        <v>8.8177490520114823E-2</v>
      </c>
      <c r="S256">
        <f t="shared" si="59"/>
        <v>1.459549231290495E-2</v>
      </c>
      <c r="T256">
        <f t="shared" si="60"/>
        <v>1.5562003162232561</v>
      </c>
      <c r="U256">
        <f t="shared" si="61"/>
        <v>89.163710196516675</v>
      </c>
      <c r="V256">
        <f t="shared" si="62"/>
        <v>5.9442473464344454</v>
      </c>
      <c r="X256">
        <f t="shared" si="63"/>
        <v>9.7373183501455289E-3</v>
      </c>
      <c r="Y256">
        <f t="shared" si="64"/>
        <v>1.5610588545636137</v>
      </c>
      <c r="Z256">
        <f t="shared" si="65"/>
        <v>89.442083938021668</v>
      </c>
      <c r="AA256">
        <f t="shared" si="66"/>
        <v>5.9628055958681108</v>
      </c>
      <c r="AB256">
        <f t="shared" si="67"/>
        <v>12.074388808263778</v>
      </c>
    </row>
    <row r="257" spans="10:28" x14ac:dyDescent="0.3">
      <c r="J257">
        <v>252</v>
      </c>
      <c r="K257">
        <f t="shared" si="51"/>
        <v>-0.39794863130761032</v>
      </c>
      <c r="L257">
        <f t="shared" si="52"/>
        <v>258.23408624229978</v>
      </c>
      <c r="M257">
        <f t="shared" si="53"/>
        <v>4.5070350458071227</v>
      </c>
      <c r="N257">
        <f t="shared" si="54"/>
        <v>-0.20391367068311472</v>
      </c>
      <c r="O257">
        <f t="shared" si="55"/>
        <v>8.1147166153256289E-2</v>
      </c>
      <c r="P257">
        <f t="shared" si="56"/>
        <v>8.1236488241611116E-2</v>
      </c>
      <c r="Q257">
        <f t="shared" si="57"/>
        <v>4.6545079187084557</v>
      </c>
      <c r="R257">
        <f t="shared" si="58"/>
        <v>8.1415664369915652E-2</v>
      </c>
      <c r="S257">
        <f t="shared" si="59"/>
        <v>1.347624769600447E-2</v>
      </c>
      <c r="T257">
        <f t="shared" si="60"/>
        <v>1.5573196711636759</v>
      </c>
      <c r="U257">
        <f t="shared" si="61"/>
        <v>89.227844510379839</v>
      </c>
      <c r="V257">
        <f t="shared" si="62"/>
        <v>5.9485229673586559</v>
      </c>
      <c r="X257">
        <f t="shared" si="63"/>
        <v>8.9906192383375251E-3</v>
      </c>
      <c r="Y257">
        <f t="shared" si="64"/>
        <v>1.5618055864316782</v>
      </c>
      <c r="Z257">
        <f t="shared" si="65"/>
        <v>89.484868522489677</v>
      </c>
      <c r="AA257">
        <f t="shared" si="66"/>
        <v>5.9656579014993119</v>
      </c>
      <c r="AB257">
        <f t="shared" si="67"/>
        <v>12.068684197001376</v>
      </c>
    </row>
    <row r="258" spans="10:28" x14ac:dyDescent="0.3">
      <c r="J258">
        <v>253</v>
      </c>
      <c r="K258">
        <f t="shared" si="51"/>
        <v>-0.39794863130761032</v>
      </c>
      <c r="L258">
        <f t="shared" si="52"/>
        <v>259.21971252566738</v>
      </c>
      <c r="M258">
        <f t="shared" si="53"/>
        <v>4.5242374696460814</v>
      </c>
      <c r="N258">
        <f t="shared" si="54"/>
        <v>-0.18704334906991657</v>
      </c>
      <c r="O258">
        <f t="shared" si="55"/>
        <v>7.4433644757564893E-2</v>
      </c>
      <c r="P258">
        <f t="shared" si="56"/>
        <v>7.4502548308162192E-2</v>
      </c>
      <c r="Q258">
        <f t="shared" si="57"/>
        <v>4.2686815810272254</v>
      </c>
      <c r="R258">
        <f t="shared" si="58"/>
        <v>7.4640700401280832E-2</v>
      </c>
      <c r="S258">
        <f t="shared" si="59"/>
        <v>1.2354828454640822E-2</v>
      </c>
      <c r="T258">
        <f t="shared" si="60"/>
        <v>1.5584411840081505</v>
      </c>
      <c r="U258">
        <f t="shared" si="61"/>
        <v>89.292102463037949</v>
      </c>
      <c r="V258">
        <f t="shared" si="62"/>
        <v>5.9528068308691964</v>
      </c>
      <c r="X258">
        <f t="shared" si="63"/>
        <v>8.2424693354060767E-3</v>
      </c>
      <c r="Y258">
        <f t="shared" si="64"/>
        <v>1.5625537641267437</v>
      </c>
      <c r="Z258">
        <f t="shared" si="65"/>
        <v>89.527735946742737</v>
      </c>
      <c r="AA258">
        <f t="shared" si="66"/>
        <v>5.9685157297828493</v>
      </c>
      <c r="AB258">
        <f t="shared" si="67"/>
        <v>12.062968540434301</v>
      </c>
    </row>
    <row r="259" spans="10:28" x14ac:dyDescent="0.3">
      <c r="J259">
        <v>254</v>
      </c>
      <c r="K259">
        <f t="shared" si="51"/>
        <v>-0.39794863130761032</v>
      </c>
      <c r="L259">
        <f t="shared" si="52"/>
        <v>260.20533880903491</v>
      </c>
      <c r="M259">
        <f t="shared" si="53"/>
        <v>4.5414398934850393</v>
      </c>
      <c r="N259">
        <f t="shared" si="54"/>
        <v>-0.17011767832049141</v>
      </c>
      <c r="O259">
        <f t="shared" si="55"/>
        <v>6.7698097248867883E-2</v>
      </c>
      <c r="P259">
        <f t="shared" si="56"/>
        <v>6.7749914614988804E-2</v>
      </c>
      <c r="Q259">
        <f t="shared" si="57"/>
        <v>3.881784169810552</v>
      </c>
      <c r="R259">
        <f t="shared" si="58"/>
        <v>6.7853763807927334E-2</v>
      </c>
      <c r="S259">
        <f t="shared" si="59"/>
        <v>1.1231427456356942E-2</v>
      </c>
      <c r="T259">
        <f t="shared" si="60"/>
        <v>1.5595646631938016</v>
      </c>
      <c r="U259">
        <f t="shared" si="61"/>
        <v>89.356473078746546</v>
      </c>
      <c r="V259">
        <f t="shared" si="62"/>
        <v>5.9570982052497694</v>
      </c>
      <c r="X259">
        <f t="shared" si="63"/>
        <v>7.4929973120821695E-3</v>
      </c>
      <c r="Y259">
        <f t="shared" si="64"/>
        <v>1.5633032593653096</v>
      </c>
      <c r="Z259">
        <f t="shared" si="65"/>
        <v>89.570678860677717</v>
      </c>
      <c r="AA259">
        <f t="shared" si="66"/>
        <v>5.971378590711848</v>
      </c>
      <c r="AB259">
        <f t="shared" si="67"/>
        <v>12.057242818576304</v>
      </c>
    </row>
    <row r="260" spans="10:28" x14ac:dyDescent="0.3">
      <c r="J260">
        <v>255</v>
      </c>
      <c r="K260">
        <f t="shared" si="51"/>
        <v>-0.39794863130761032</v>
      </c>
      <c r="L260">
        <f t="shared" si="52"/>
        <v>261.19096509240245</v>
      </c>
      <c r="M260">
        <f t="shared" si="53"/>
        <v>4.558642317323998</v>
      </c>
      <c r="N260">
        <f t="shared" si="54"/>
        <v>-0.15314166701312007</v>
      </c>
      <c r="O260">
        <f t="shared" si="55"/>
        <v>6.0942516784036949E-2</v>
      </c>
      <c r="P260">
        <f t="shared" si="56"/>
        <v>6.0980303290482582E-2</v>
      </c>
      <c r="Q260">
        <f t="shared" si="57"/>
        <v>3.4939140119723788</v>
      </c>
      <c r="R260">
        <f t="shared" si="58"/>
        <v>6.1056002956649411E-2</v>
      </c>
      <c r="S260">
        <f t="shared" si="59"/>
        <v>1.0106234783435954E-2</v>
      </c>
      <c r="T260">
        <f t="shared" si="60"/>
        <v>1.5606899199685185</v>
      </c>
      <c r="U260">
        <f t="shared" si="61"/>
        <v>89.420945542806336</v>
      </c>
      <c r="V260">
        <f t="shared" si="62"/>
        <v>5.9613963695204228</v>
      </c>
      <c r="X260">
        <f t="shared" si="63"/>
        <v>6.7423299809229792E-3</v>
      </c>
      <c r="Y260">
        <f t="shared" si="64"/>
        <v>1.5640539457296503</v>
      </c>
      <c r="Z260">
        <f t="shared" si="65"/>
        <v>89.613690021092467</v>
      </c>
      <c r="AA260">
        <f t="shared" si="66"/>
        <v>5.974246001406164</v>
      </c>
      <c r="AB260">
        <f t="shared" si="67"/>
        <v>12.051507997187672</v>
      </c>
    </row>
    <row r="261" spans="10:28" x14ac:dyDescent="0.3">
      <c r="J261">
        <v>256</v>
      </c>
      <c r="K261">
        <f t="shared" si="51"/>
        <v>-0.39794863130761032</v>
      </c>
      <c r="L261">
        <f t="shared" si="52"/>
        <v>262.17659137577004</v>
      </c>
      <c r="M261">
        <f t="shared" si="53"/>
        <v>4.5758447411629577</v>
      </c>
      <c r="N261">
        <f t="shared" si="54"/>
        <v>-0.13612033862266615</v>
      </c>
      <c r="O261">
        <f t="shared" si="55"/>
        <v>5.416890244801844E-2</v>
      </c>
      <c r="P261">
        <f t="shared" si="56"/>
        <v>5.4195428519391083E-2</v>
      </c>
      <c r="Q261">
        <f t="shared" si="57"/>
        <v>3.1051693230640454</v>
      </c>
      <c r="R261">
        <f t="shared" si="58"/>
        <v>5.4248550865901704E-2</v>
      </c>
      <c r="S261">
        <f t="shared" si="59"/>
        <v>8.9794379776421702E-3</v>
      </c>
      <c r="T261">
        <f t="shared" si="60"/>
        <v>1.5618167681437367</v>
      </c>
      <c r="U261">
        <f t="shared" si="61"/>
        <v>89.48550918739835</v>
      </c>
      <c r="V261">
        <f t="shared" si="62"/>
        <v>5.9657006124932233</v>
      </c>
      <c r="X261">
        <f t="shared" si="63"/>
        <v>5.9905924595897641E-3</v>
      </c>
      <c r="Y261">
        <f t="shared" si="64"/>
        <v>1.5648056985037986</v>
      </c>
      <c r="Z261">
        <f t="shared" si="65"/>
        <v>89.656762282288412</v>
      </c>
      <c r="AA261">
        <f t="shared" si="66"/>
        <v>5.9771174854858939</v>
      </c>
      <c r="AB261">
        <f t="shared" si="67"/>
        <v>12.045765029028212</v>
      </c>
    </row>
    <row r="262" spans="10:28" x14ac:dyDescent="0.3">
      <c r="J262">
        <v>257</v>
      </c>
      <c r="K262">
        <f t="shared" si="51"/>
        <v>-0.39794863130761032</v>
      </c>
      <c r="L262">
        <f t="shared" si="52"/>
        <v>263.16221765913758</v>
      </c>
      <c r="M262">
        <f t="shared" si="53"/>
        <v>4.5930471650019156</v>
      </c>
      <c r="N262">
        <f t="shared" si="54"/>
        <v>-0.11905873003404988</v>
      </c>
      <c r="O262">
        <f t="shared" si="55"/>
        <v>4.7379258662272425E-2</v>
      </c>
      <c r="P262">
        <f t="shared" si="56"/>
        <v>4.7397002706189829E-2</v>
      </c>
      <c r="Q262">
        <f t="shared" si="57"/>
        <v>2.7156482166348184</v>
      </c>
      <c r="R262">
        <f t="shared" si="58"/>
        <v>4.7432526702277267E-2</v>
      </c>
      <c r="S262">
        <f t="shared" si="59"/>
        <v>7.8512222879241582E-3</v>
      </c>
      <c r="T262">
        <f t="shared" si="60"/>
        <v>1.5629450238442979</v>
      </c>
      <c r="U262">
        <f t="shared" si="61"/>
        <v>89.550153477252081</v>
      </c>
      <c r="V262">
        <f t="shared" si="62"/>
        <v>5.9700102318168051</v>
      </c>
      <c r="X262">
        <f t="shared" si="63"/>
        <v>5.2379083361018602E-3</v>
      </c>
      <c r="Y262">
        <f t="shared" si="64"/>
        <v>1.5655583945075662</v>
      </c>
      <c r="Z262">
        <f t="shared" si="65"/>
        <v>89.699888586560661</v>
      </c>
      <c r="AA262">
        <f t="shared" si="66"/>
        <v>5.9799925724373777</v>
      </c>
      <c r="AB262">
        <f t="shared" si="67"/>
        <v>12.040014855125245</v>
      </c>
    </row>
    <row r="263" spans="10:28" x14ac:dyDescent="0.3">
      <c r="J263">
        <v>258</v>
      </c>
      <c r="K263">
        <f t="shared" ref="K263:K326" si="68">-SIN(23.45*PI()/180)</f>
        <v>-0.39794863130761032</v>
      </c>
      <c r="L263">
        <f t="shared" ref="L263:L326" si="69">360*(J263+10)/365.25</f>
        <v>264.14784394250512</v>
      </c>
      <c r="M263">
        <f t="shared" ref="M263:M326" si="70">L263*PI()/180</f>
        <v>4.6102495888408734</v>
      </c>
      <c r="N263">
        <f t="shared" ref="N263:N326" si="71">COS(M263)</f>
        <v>-0.10196189005174576</v>
      </c>
      <c r="O263">
        <f t="shared" ref="O263:O326" si="72">K263*N263</f>
        <v>4.0575594591629273E-2</v>
      </c>
      <c r="P263">
        <f t="shared" ref="P263:P326" si="73">ASIN(O263)</f>
        <v>4.0586736648732046E-2</v>
      </c>
      <c r="Q263">
        <f t="shared" ref="Q263:Q326" si="74">P263*180/PI()</f>
        <v>2.325448714181289</v>
      </c>
      <c r="R263">
        <f t="shared" ref="R263:R326" si="75">TAN(P263)</f>
        <v>4.0609037292734802E-2</v>
      </c>
      <c r="S263">
        <f t="shared" ref="S263:S326" si="76">TAN(D$19)*R263</f>
        <v>6.7217709207246495E-3</v>
      </c>
      <c r="T263">
        <f t="shared" ref="T263:T326" si="77">ACOS(S263)</f>
        <v>1.5640745052557383</v>
      </c>
      <c r="U263">
        <f t="shared" ref="U263:U326" si="78">T263*180/PI()</f>
        <v>89.614867995166108</v>
      </c>
      <c r="V263">
        <f t="shared" ref="V263:V326" si="79">U263/15</f>
        <v>5.9743245330110737</v>
      </c>
      <c r="X263">
        <f t="shared" ref="X263:X326" si="80">TAN(0.109983)*TAN(P263)</f>
        <v>4.4843998358298455E-3</v>
      </c>
      <c r="Y263">
        <f t="shared" ref="Y263:Y326" si="81">ACOS(X263)</f>
        <v>1.5663119119288353</v>
      </c>
      <c r="Z263">
        <f t="shared" ref="Z263:Z326" si="82">Y263*180/PI()</f>
        <v>89.743061954588967</v>
      </c>
      <c r="AA263">
        <f t="shared" ref="AA263:AA326" si="83">Z263/15</f>
        <v>5.9828707969725974</v>
      </c>
      <c r="AB263">
        <f t="shared" ref="AB263:AB326" si="84">24-2*AA263</f>
        <v>12.034258406054805</v>
      </c>
    </row>
    <row r="264" spans="10:28" x14ac:dyDescent="0.3">
      <c r="J264">
        <v>259</v>
      </c>
      <c r="K264">
        <f t="shared" si="68"/>
        <v>-0.39794863130761032</v>
      </c>
      <c r="L264">
        <f t="shared" si="69"/>
        <v>265.13347022587271</v>
      </c>
      <c r="M264">
        <f t="shared" si="70"/>
        <v>4.6274520126798322</v>
      </c>
      <c r="N264">
        <f t="shared" si="71"/>
        <v>-8.4834877905765382E-2</v>
      </c>
      <c r="O264">
        <f t="shared" si="72"/>
        <v>3.3759923549747564E-2</v>
      </c>
      <c r="P264">
        <f t="shared" si="73"/>
        <v>3.3766339721012076E-2</v>
      </c>
      <c r="Q264">
        <f t="shared" si="74"/>
        <v>1.9346687556189415</v>
      </c>
      <c r="R264">
        <f t="shared" si="75"/>
        <v>3.3779178650547408E-2</v>
      </c>
      <c r="S264">
        <f t="shared" si="76"/>
        <v>5.5912652925617159E-3</v>
      </c>
      <c r="T264">
        <f t="shared" si="77"/>
        <v>1.5652050323693383</v>
      </c>
      <c r="U264">
        <f t="shared" si="78"/>
        <v>89.679642427400481</v>
      </c>
      <c r="V264">
        <f t="shared" si="79"/>
        <v>5.9786428284933653</v>
      </c>
      <c r="X264">
        <f t="shared" si="80"/>
        <v>3.7301879900039484E-3</v>
      </c>
      <c r="Y264">
        <f t="shared" si="81"/>
        <v>1.5670661301543445</v>
      </c>
      <c r="Z264">
        <f t="shared" si="82"/>
        <v>89.786275475742485</v>
      </c>
      <c r="AA264">
        <f t="shared" si="83"/>
        <v>5.9857516983828321</v>
      </c>
      <c r="AB264">
        <f t="shared" si="84"/>
        <v>12.028496603234336</v>
      </c>
    </row>
    <row r="265" spans="10:28" x14ac:dyDescent="0.3">
      <c r="J265">
        <v>260</v>
      </c>
      <c r="K265">
        <f t="shared" si="68"/>
        <v>-0.39794863130761032</v>
      </c>
      <c r="L265">
        <f t="shared" si="69"/>
        <v>266.11909650924025</v>
      </c>
      <c r="M265">
        <f t="shared" si="70"/>
        <v>4.644654436518791</v>
      </c>
      <c r="N265">
        <f t="shared" si="71"/>
        <v>-6.7682761754550735E-2</v>
      </c>
      <c r="O265">
        <f t="shared" si="72"/>
        <v>2.693426240334254E-2</v>
      </c>
      <c r="P265">
        <f t="shared" si="73"/>
        <v>2.6937520063870641E-2</v>
      </c>
      <c r="Q265">
        <f t="shared" si="74"/>
        <v>1.5434062102087636</v>
      </c>
      <c r="R265">
        <f t="shared" si="75"/>
        <v>2.6944037513026101E-2</v>
      </c>
      <c r="S265">
        <f t="shared" si="76"/>
        <v>4.4598852845589348E-3</v>
      </c>
      <c r="T265">
        <f t="shared" si="77"/>
        <v>1.5663364267252569</v>
      </c>
      <c r="U265">
        <f t="shared" si="78"/>
        <v>89.744466548959551</v>
      </c>
      <c r="V265">
        <f t="shared" si="79"/>
        <v>5.9829644365973031</v>
      </c>
      <c r="X265">
        <f t="shared" si="80"/>
        <v>2.9753928055227317E-3</v>
      </c>
      <c r="Y265">
        <f t="shared" si="81"/>
        <v>1.567820929599183</v>
      </c>
      <c r="Z265">
        <f t="shared" si="82"/>
        <v>89.82952229831055</v>
      </c>
      <c r="AA265">
        <f t="shared" si="83"/>
        <v>5.9886348198873698</v>
      </c>
      <c r="AB265">
        <f t="shared" si="84"/>
        <v>12.02273036022526</v>
      </c>
    </row>
    <row r="266" spans="10:28" x14ac:dyDescent="0.3">
      <c r="J266">
        <v>261</v>
      </c>
      <c r="K266">
        <f t="shared" si="68"/>
        <v>-0.39794863130761032</v>
      </c>
      <c r="L266">
        <f t="shared" si="69"/>
        <v>267.10472279260779</v>
      </c>
      <c r="M266">
        <f t="shared" si="70"/>
        <v>4.6618568603577488</v>
      </c>
      <c r="N266">
        <f t="shared" si="71"/>
        <v>-5.0510617185222886E-2</v>
      </c>
      <c r="O266">
        <f t="shared" si="72"/>
        <v>2.0100630975362108E-2</v>
      </c>
      <c r="P266">
        <f t="shared" si="73"/>
        <v>2.0101984782484414E-2</v>
      </c>
      <c r="Q266">
        <f t="shared" si="74"/>
        <v>1.1517588878725631</v>
      </c>
      <c r="R266">
        <f t="shared" si="75"/>
        <v>2.0104692889163719E-2</v>
      </c>
      <c r="S266">
        <f t="shared" si="76"/>
        <v>3.3278094986176274E-3</v>
      </c>
      <c r="T266">
        <f t="shared" si="77"/>
        <v>1.5674685111540461</v>
      </c>
      <c r="U266">
        <f t="shared" si="78"/>
        <v>89.809330208781645</v>
      </c>
      <c r="V266">
        <f t="shared" si="79"/>
        <v>5.9872886805854426</v>
      </c>
      <c r="X266">
        <f t="shared" si="80"/>
        <v>2.2201334358572678E-3</v>
      </c>
      <c r="Y266">
        <f t="shared" si="81"/>
        <v>1.5685761915351983</v>
      </c>
      <c r="Z266">
        <f t="shared" si="82"/>
        <v>89.872795619671123</v>
      </c>
      <c r="AA266">
        <f t="shared" si="83"/>
        <v>5.9915197079780746</v>
      </c>
      <c r="AB266">
        <f t="shared" si="84"/>
        <v>12.016960584043851</v>
      </c>
    </row>
    <row r="267" spans="10:28" x14ac:dyDescent="0.3">
      <c r="J267">
        <v>262</v>
      </c>
      <c r="K267">
        <f t="shared" si="68"/>
        <v>-0.39794863130761032</v>
      </c>
      <c r="L267">
        <f t="shared" si="69"/>
        <v>268.09034907597538</v>
      </c>
      <c r="M267">
        <f t="shared" si="70"/>
        <v>4.6790592841967076</v>
      </c>
      <c r="N267">
        <f t="shared" si="71"/>
        <v>-3.3323525711631344E-2</v>
      </c>
      <c r="O267">
        <f t="shared" si="72"/>
        <v>1.3261051447287654E-2</v>
      </c>
      <c r="P267">
        <f t="shared" si="73"/>
        <v>1.3261440149488433E-2</v>
      </c>
      <c r="Q267">
        <f t="shared" si="74"/>
        <v>0.75982455083102673</v>
      </c>
      <c r="R267">
        <f t="shared" si="75"/>
        <v>1.3262217615417874E-2</v>
      </c>
      <c r="S267">
        <f t="shared" si="76"/>
        <v>2.1952155149362958E-3</v>
      </c>
      <c r="T267">
        <f t="shared" si="77"/>
        <v>1.5686011095168431</v>
      </c>
      <c r="U267">
        <f t="shared" si="78"/>
        <v>89.874223314853339</v>
      </c>
      <c r="V267">
        <f t="shared" si="79"/>
        <v>5.9916148876568895</v>
      </c>
      <c r="X267">
        <f t="shared" si="80"/>
        <v>1.4645283528540996E-3</v>
      </c>
      <c r="Y267">
        <f t="shared" si="81"/>
        <v>1.5693317979185113</v>
      </c>
      <c r="Z267">
        <f t="shared" si="82"/>
        <v>89.916088676408094</v>
      </c>
      <c r="AA267">
        <f t="shared" si="83"/>
        <v>5.9944059117605395</v>
      </c>
      <c r="AB267">
        <f t="shared" si="84"/>
        <v>12.011188176478921</v>
      </c>
    </row>
    <row r="268" spans="10:28" x14ac:dyDescent="0.3">
      <c r="J268">
        <v>263</v>
      </c>
      <c r="K268">
        <f t="shared" si="68"/>
        <v>-0.39794863130761032</v>
      </c>
      <c r="L268">
        <f t="shared" si="69"/>
        <v>269.07597535934292</v>
      </c>
      <c r="M268">
        <f t="shared" si="70"/>
        <v>4.6962617080356654</v>
      </c>
      <c r="N268">
        <f t="shared" si="71"/>
        <v>-1.612657327065865E-2</v>
      </c>
      <c r="O268">
        <f t="shared" si="72"/>
        <v>6.4175477607405027E-3</v>
      </c>
      <c r="P268">
        <f t="shared" si="73"/>
        <v>6.4175918125879937E-3</v>
      </c>
      <c r="Q268">
        <f t="shared" si="74"/>
        <v>0.36770092549900402</v>
      </c>
      <c r="R268">
        <f t="shared" si="75"/>
        <v>6.41767991791587E-3</v>
      </c>
      <c r="S268">
        <f t="shared" si="76"/>
        <v>1.0622801505930585E-3</v>
      </c>
      <c r="T268">
        <f t="shared" si="77"/>
        <v>1.5697340464445171</v>
      </c>
      <c r="U268">
        <f t="shared" si="78"/>
        <v>89.939135819263569</v>
      </c>
      <c r="V268">
        <f t="shared" si="79"/>
        <v>5.9959423879509046</v>
      </c>
      <c r="X268">
        <f t="shared" si="80"/>
        <v>7.0869551924736805E-4</v>
      </c>
      <c r="Y268">
        <f t="shared" si="81"/>
        <v>1.5700876312163254</v>
      </c>
      <c r="Z268">
        <f t="shared" si="82"/>
        <v>89.959394734388297</v>
      </c>
      <c r="AA268">
        <f t="shared" si="83"/>
        <v>5.9972929822925529</v>
      </c>
      <c r="AB268">
        <f t="shared" si="84"/>
        <v>12.005414035414894</v>
      </c>
    </row>
    <row r="269" spans="10:28" x14ac:dyDescent="0.3">
      <c r="J269">
        <v>264</v>
      </c>
      <c r="K269">
        <f t="shared" si="68"/>
        <v>-0.39794863130761032</v>
      </c>
      <c r="L269">
        <f t="shared" si="69"/>
        <v>270.06160164271046</v>
      </c>
      <c r="M269">
        <f t="shared" si="70"/>
        <v>4.7134641318746242</v>
      </c>
      <c r="N269">
        <f t="shared" si="71"/>
        <v>1.0751512827973377E-3</v>
      </c>
      <c r="O269">
        <f t="shared" si="72"/>
        <v>-4.2785498143782204E-4</v>
      </c>
      <c r="P269">
        <f t="shared" si="73"/>
        <v>-4.2785499449167041E-4</v>
      </c>
      <c r="Q269">
        <f t="shared" si="74"/>
        <v>-2.4514285427965798E-2</v>
      </c>
      <c r="R269">
        <f t="shared" si="75"/>
        <v>-4.2785502059936931E-4</v>
      </c>
      <c r="S269">
        <f t="shared" si="76"/>
        <v>-7.0820281087170957E-5</v>
      </c>
      <c r="T269">
        <f t="shared" si="77"/>
        <v>1.5708671470760429</v>
      </c>
      <c r="U269">
        <f t="shared" si="78"/>
        <v>90.004057703213618</v>
      </c>
      <c r="V269">
        <f t="shared" si="79"/>
        <v>6.0002705135475747</v>
      </c>
      <c r="X269">
        <f t="shared" si="80"/>
        <v>-4.7247438305513557E-5</v>
      </c>
      <c r="Y269">
        <f t="shared" si="81"/>
        <v>1.5708435742332196</v>
      </c>
      <c r="Z269">
        <f t="shared" si="82"/>
        <v>90.002707078808712</v>
      </c>
      <c r="AA269">
        <f t="shared" si="83"/>
        <v>6.0001804719205811</v>
      </c>
      <c r="AB269">
        <f t="shared" si="84"/>
        <v>11.999639056158838</v>
      </c>
    </row>
    <row r="270" spans="10:28" x14ac:dyDescent="0.3">
      <c r="J270">
        <v>265</v>
      </c>
      <c r="K270">
        <f t="shared" si="68"/>
        <v>-0.39794863130761032</v>
      </c>
      <c r="L270">
        <f t="shared" si="69"/>
        <v>271.04722792607805</v>
      </c>
      <c r="M270">
        <f t="shared" si="70"/>
        <v>4.7306665557135839</v>
      </c>
      <c r="N270">
        <f t="shared" si="71"/>
        <v>1.8276557681692111E-2</v>
      </c>
      <c r="O270">
        <f t="shared" si="72"/>
        <v>-7.2731311144439668E-3</v>
      </c>
      <c r="P270">
        <f t="shared" si="73"/>
        <v>-7.2731952388474632E-3</v>
      </c>
      <c r="Q270">
        <f t="shared" si="74"/>
        <v>-0.41672339076060438</v>
      </c>
      <c r="R270">
        <f t="shared" si="75"/>
        <v>-7.2733234907074477E-3</v>
      </c>
      <c r="S270">
        <f t="shared" si="76"/>
        <v>-1.2039097106497391E-3</v>
      </c>
      <c r="T270">
        <f t="shared" si="77"/>
        <v>1.5720002367963706</v>
      </c>
      <c r="U270">
        <f t="shared" si="78"/>
        <v>90.068978961998042</v>
      </c>
      <c r="V270">
        <f t="shared" si="79"/>
        <v>6.0045985974665363</v>
      </c>
      <c r="X270">
        <f t="shared" si="80"/>
        <v>-8.0318305584410198E-4</v>
      </c>
      <c r="Y270">
        <f t="shared" si="81"/>
        <v>1.5715995099370967</v>
      </c>
      <c r="Z270">
        <f t="shared" si="82"/>
        <v>90.046019004224121</v>
      </c>
      <c r="AA270">
        <f t="shared" si="83"/>
        <v>6.0030679336149415</v>
      </c>
      <c r="AB270">
        <f t="shared" si="84"/>
        <v>11.993864132770117</v>
      </c>
    </row>
    <row r="271" spans="10:28" x14ac:dyDescent="0.3">
      <c r="J271">
        <v>266</v>
      </c>
      <c r="K271">
        <f t="shared" si="68"/>
        <v>-0.39794863130761032</v>
      </c>
      <c r="L271">
        <f t="shared" si="69"/>
        <v>272.03285420944559</v>
      </c>
      <c r="M271">
        <f t="shared" si="70"/>
        <v>4.7478689795525417</v>
      </c>
      <c r="N271">
        <f t="shared" si="71"/>
        <v>3.5472555753125558E-2</v>
      </c>
      <c r="O271">
        <f t="shared" si="72"/>
        <v>-1.4116255010939214E-2</v>
      </c>
      <c r="P271">
        <f t="shared" si="73"/>
        <v>-1.4116723874176684E-2</v>
      </c>
      <c r="Q271">
        <f t="shared" si="74"/>
        <v>-0.80882869854189254</v>
      </c>
      <c r="R271">
        <f t="shared" si="75"/>
        <v>-1.4117661684750807E-2</v>
      </c>
      <c r="S271">
        <f t="shared" si="76"/>
        <v>-2.3368120523793836E-3</v>
      </c>
      <c r="T271">
        <f t="shared" si="77"/>
        <v>1.573133140974049</v>
      </c>
      <c r="U271">
        <f t="shared" si="78"/>
        <v>90.133889589971758</v>
      </c>
      <c r="V271">
        <f t="shared" si="79"/>
        <v>6.0089259726647839</v>
      </c>
      <c r="X271">
        <f t="shared" si="80"/>
        <v>-1.55899385855976E-3</v>
      </c>
      <c r="Y271">
        <f t="shared" si="81"/>
        <v>1.5723553212849695</v>
      </c>
      <c r="Z271">
        <f t="shared" si="82"/>
        <v>90.089323804565339</v>
      </c>
      <c r="AA271">
        <f t="shared" si="83"/>
        <v>6.0059549203043563</v>
      </c>
      <c r="AB271">
        <f t="shared" si="84"/>
        <v>11.988090159391287</v>
      </c>
    </row>
    <row r="272" spans="10:28" x14ac:dyDescent="0.3">
      <c r="J272">
        <v>267</v>
      </c>
      <c r="K272">
        <f t="shared" si="68"/>
        <v>-0.39794863130761032</v>
      </c>
      <c r="L272">
        <f t="shared" si="69"/>
        <v>273.01848049281313</v>
      </c>
      <c r="M272">
        <f t="shared" si="70"/>
        <v>4.7650714033915005</v>
      </c>
      <c r="N272">
        <f t="shared" si="71"/>
        <v>5.2658056924614005E-2</v>
      </c>
      <c r="O272">
        <f t="shared" si="72"/>
        <v>-2.0955201680468376E-2</v>
      </c>
      <c r="P272">
        <f t="shared" si="73"/>
        <v>-2.0956735626629835E-2</v>
      </c>
      <c r="Q272">
        <f t="shared" si="74"/>
        <v>-1.2007325037773402</v>
      </c>
      <c r="R272">
        <f t="shared" si="75"/>
        <v>-2.0959804125378404E-2</v>
      </c>
      <c r="S272">
        <f t="shared" si="76"/>
        <v>-3.4693509441864711E-3</v>
      </c>
      <c r="T272">
        <f t="shared" si="77"/>
        <v>1.5742656846988676</v>
      </c>
      <c r="U272">
        <f t="shared" si="78"/>
        <v>90.198779565517896</v>
      </c>
      <c r="V272">
        <f t="shared" si="79"/>
        <v>6.013251971034526</v>
      </c>
      <c r="X272">
        <f t="shared" si="80"/>
        <v>-2.3145621872619074E-3</v>
      </c>
      <c r="Y272">
        <f t="shared" si="81"/>
        <v>1.5731108910487581</v>
      </c>
      <c r="Z272">
        <f t="shared" si="82"/>
        <v>90.132614763158116</v>
      </c>
      <c r="AA272">
        <f t="shared" si="83"/>
        <v>6.0088409842105408</v>
      </c>
      <c r="AB272">
        <f t="shared" si="84"/>
        <v>11.982318031578918</v>
      </c>
    </row>
    <row r="273" spans="10:28" x14ac:dyDescent="0.3">
      <c r="J273">
        <v>268</v>
      </c>
      <c r="K273">
        <f t="shared" si="68"/>
        <v>-0.39794863130761032</v>
      </c>
      <c r="L273">
        <f t="shared" si="69"/>
        <v>274.00410677618072</v>
      </c>
      <c r="M273">
        <f t="shared" si="70"/>
        <v>4.7822738272304584</v>
      </c>
      <c r="N273">
        <f t="shared" si="71"/>
        <v>6.9827975729870886E-2</v>
      </c>
      <c r="O273">
        <f t="shared" si="72"/>
        <v>-2.778794736868315E-2</v>
      </c>
      <c r="P273">
        <f t="shared" si="73"/>
        <v>-2.7791524781864096E-2</v>
      </c>
      <c r="Q273">
        <f t="shared" si="74"/>
        <v>-1.5923370762340485</v>
      </c>
      <c r="R273">
        <f t="shared" si="75"/>
        <v>-2.7798682095782491E-2</v>
      </c>
      <c r="S273">
        <f t="shared" si="76"/>
        <v>-4.6013494877734868E-3</v>
      </c>
      <c r="T273">
        <f t="shared" si="77"/>
        <v>1.5753976925197732</v>
      </c>
      <c r="U273">
        <f t="shared" si="78"/>
        <v>90.263638836031589</v>
      </c>
      <c r="V273">
        <f t="shared" si="79"/>
        <v>6.0175759224021057</v>
      </c>
      <c r="X273">
        <f t="shared" si="80"/>
        <v>-3.06977002503124E-3</v>
      </c>
      <c r="Y273">
        <f t="shared" si="81"/>
        <v>1.5738661016412718</v>
      </c>
      <c r="Z273">
        <f t="shared" si="82"/>
        <v>90.175885142752719</v>
      </c>
      <c r="AA273">
        <f t="shared" si="83"/>
        <v>6.0117256761835147</v>
      </c>
      <c r="AB273">
        <f t="shared" si="84"/>
        <v>11.976548647632971</v>
      </c>
    </row>
    <row r="274" spans="10:28" x14ac:dyDescent="0.3">
      <c r="J274">
        <v>269</v>
      </c>
      <c r="K274">
        <f t="shared" si="68"/>
        <v>-0.39794863130761032</v>
      </c>
      <c r="L274">
        <f t="shared" si="69"/>
        <v>274.98973305954826</v>
      </c>
      <c r="M274">
        <f t="shared" si="70"/>
        <v>4.7994762510694171</v>
      </c>
      <c r="N274">
        <f t="shared" si="71"/>
        <v>8.6977231313686093E-2</v>
      </c>
      <c r="O274">
        <f t="shared" si="72"/>
        <v>-3.4612470156206804E-2</v>
      </c>
      <c r="P274">
        <f t="shared" si="73"/>
        <v>-3.4619384974449517E-2</v>
      </c>
      <c r="Q274">
        <f t="shared" si="74"/>
        <v>-1.9835446483745747</v>
      </c>
      <c r="R274">
        <f t="shared" si="75"/>
        <v>-3.463322207325626E-2</v>
      </c>
      <c r="S274">
        <f t="shared" si="76"/>
        <v>-5.7326299893512046E-3</v>
      </c>
      <c r="T274">
        <f t="shared" si="77"/>
        <v>1.5765289881833264</v>
      </c>
      <c r="U274">
        <f t="shared" si="78"/>
        <v>90.328457302934652</v>
      </c>
      <c r="V274">
        <f t="shared" si="79"/>
        <v>6.0218971535289771</v>
      </c>
      <c r="X274">
        <f t="shared" si="80"/>
        <v>-3.8244988242396648E-3</v>
      </c>
      <c r="Y274">
        <f t="shared" si="81"/>
        <v>1.5746208349425552</v>
      </c>
      <c r="Z274">
        <f t="shared" si="82"/>
        <v>90.219128175574241</v>
      </c>
      <c r="AA274">
        <f t="shared" si="83"/>
        <v>6.0146085450382829</v>
      </c>
      <c r="AB274">
        <f t="shared" si="84"/>
        <v>11.970782909923434</v>
      </c>
    </row>
    <row r="275" spans="10:28" x14ac:dyDescent="0.3">
      <c r="J275">
        <v>270</v>
      </c>
      <c r="K275">
        <f t="shared" si="68"/>
        <v>-0.39794863130761032</v>
      </c>
      <c r="L275">
        <f t="shared" si="69"/>
        <v>275.97535934291579</v>
      </c>
      <c r="M275">
        <f t="shared" si="70"/>
        <v>4.816678674908375</v>
      </c>
      <c r="N275">
        <f t="shared" si="71"/>
        <v>0.1041007489354256</v>
      </c>
      <c r="O275">
        <f t="shared" si="72"/>
        <v>-4.142675055694979E-2</v>
      </c>
      <c r="P275">
        <f t="shared" si="73"/>
        <v>-4.1438608980754896E-2</v>
      </c>
      <c r="Q275">
        <f t="shared" si="74"/>
        <v>-2.3742574034901658</v>
      </c>
      <c r="R275">
        <f t="shared" si="75"/>
        <v>-4.1462344167698541E-2</v>
      </c>
      <c r="S275">
        <f t="shared" si="76"/>
        <v>-6.8630137011737157E-3</v>
      </c>
      <c r="T275">
        <f t="shared" si="77"/>
        <v>1.5776593943729644</v>
      </c>
      <c r="U275">
        <f t="shared" si="78"/>
        <v>90.393224806736356</v>
      </c>
      <c r="V275">
        <f t="shared" si="79"/>
        <v>6.0262149871157566</v>
      </c>
      <c r="X275">
        <f t="shared" si="80"/>
        <v>-4.5786293341165346E-3</v>
      </c>
      <c r="Y275">
        <f t="shared" si="81"/>
        <v>1.5753749721267778</v>
      </c>
      <c r="Z275">
        <f t="shared" si="82"/>
        <v>90.262337053404067</v>
      </c>
      <c r="AA275">
        <f t="shared" si="83"/>
        <v>6.0174891368936043</v>
      </c>
      <c r="AB275">
        <f t="shared" si="84"/>
        <v>11.965021726212791</v>
      </c>
    </row>
    <row r="276" spans="10:28" x14ac:dyDescent="0.3">
      <c r="J276">
        <v>271</v>
      </c>
      <c r="K276">
        <f t="shared" si="68"/>
        <v>-0.39794863130761032</v>
      </c>
      <c r="L276">
        <f t="shared" si="69"/>
        <v>276.96098562628339</v>
      </c>
      <c r="M276">
        <f t="shared" si="70"/>
        <v>4.8338810987473346</v>
      </c>
      <c r="N276">
        <f t="shared" si="71"/>
        <v>0.12119346147073688</v>
      </c>
      <c r="O276">
        <f t="shared" si="72"/>
        <v>-4.8228772115711346E-2</v>
      </c>
      <c r="P276">
        <f t="shared" si="73"/>
        <v>-4.824748851646881E-2</v>
      </c>
      <c r="Q276">
        <f t="shared" si="74"/>
        <v>-2.7643774640995682</v>
      </c>
      <c r="R276">
        <f t="shared" si="75"/>
        <v>-4.8284960566755117E-2</v>
      </c>
      <c r="S276">
        <f t="shared" si="76"/>
        <v>-7.9923205641719737E-3</v>
      </c>
      <c r="T276">
        <f t="shared" si="77"/>
        <v>1.5787887324493417</v>
      </c>
      <c r="U276">
        <f t="shared" si="78"/>
        <v>90.457931112156189</v>
      </c>
      <c r="V276">
        <f t="shared" si="79"/>
        <v>6.0305287408104125</v>
      </c>
      <c r="X276">
        <f t="shared" si="80"/>
        <v>-5.332041429047754E-3</v>
      </c>
      <c r="Y276">
        <f t="shared" si="81"/>
        <v>1.5761283934898489</v>
      </c>
      <c r="Z276">
        <f t="shared" si="82"/>
        <v>90.305504917703033</v>
      </c>
      <c r="AA276">
        <f t="shared" si="83"/>
        <v>6.0203669945135356</v>
      </c>
      <c r="AB276">
        <f t="shared" si="84"/>
        <v>11.959266010972929</v>
      </c>
    </row>
    <row r="277" spans="10:28" x14ac:dyDescent="0.3">
      <c r="J277">
        <v>272</v>
      </c>
      <c r="K277">
        <f t="shared" si="68"/>
        <v>-0.39794863130761032</v>
      </c>
      <c r="L277">
        <f t="shared" si="69"/>
        <v>277.94661190965093</v>
      </c>
      <c r="M277">
        <f t="shared" si="70"/>
        <v>4.8510835225862925</v>
      </c>
      <c r="N277">
        <f t="shared" si="71"/>
        <v>0.13825031091098189</v>
      </c>
      <c r="O277">
        <f t="shared" si="72"/>
        <v>-5.5016522004876826E-2</v>
      </c>
      <c r="P277">
        <f t="shared" si="73"/>
        <v>-5.5044314039890199E-2</v>
      </c>
      <c r="Q277">
        <f t="shared" si="74"/>
        <v>-3.1538068806784105</v>
      </c>
      <c r="R277">
        <f t="shared" si="75"/>
        <v>-5.5099973989311261E-2</v>
      </c>
      <c r="S277">
        <f t="shared" si="76"/>
        <v>-9.1203689519696717E-3</v>
      </c>
      <c r="T277">
        <f t="shared" si="77"/>
        <v>1.5799168221920317</v>
      </c>
      <c r="U277">
        <f t="shared" si="78"/>
        <v>90.522565893324327</v>
      </c>
      <c r="V277">
        <f t="shared" si="79"/>
        <v>6.034837726221622</v>
      </c>
      <c r="X277">
        <f t="shared" si="80"/>
        <v>-6.0846139377970943E-3</v>
      </c>
      <c r="Y277">
        <f t="shared" si="81"/>
        <v>1.5768809782779496</v>
      </c>
      <c r="Z277">
        <f t="shared" si="82"/>
        <v>90.348624849786958</v>
      </c>
      <c r="AA277">
        <f t="shared" si="83"/>
        <v>6.0232416566524636</v>
      </c>
      <c r="AB277">
        <f t="shared" si="84"/>
        <v>11.953516686695073</v>
      </c>
    </row>
    <row r="278" spans="10:28" x14ac:dyDescent="0.3">
      <c r="J278">
        <v>273</v>
      </c>
      <c r="K278">
        <f t="shared" si="68"/>
        <v>-0.39794863130761032</v>
      </c>
      <c r="L278">
        <f t="shared" si="69"/>
        <v>278.93223819301846</v>
      </c>
      <c r="M278">
        <f t="shared" si="70"/>
        <v>4.8682859464252504</v>
      </c>
      <c r="N278">
        <f t="shared" si="71"/>
        <v>0.15526624985999474</v>
      </c>
      <c r="O278">
        <f t="shared" si="72"/>
        <v>-6.1787991620050352E-2</v>
      </c>
      <c r="P278">
        <f t="shared" si="73"/>
        <v>-6.1827374562157464E-2</v>
      </c>
      <c r="Q278">
        <f t="shared" si="74"/>
        <v>-3.5424476207861288</v>
      </c>
      <c r="R278">
        <f t="shared" si="75"/>
        <v>-6.1906276149142153E-2</v>
      </c>
      <c r="S278">
        <f t="shared" si="76"/>
        <v>-1.0246975416580486E-2</v>
      </c>
      <c r="T278">
        <f t="shared" si="77"/>
        <v>1.5810434815428831</v>
      </c>
      <c r="U278">
        <f t="shared" si="78"/>
        <v>90.587118719077068</v>
      </c>
      <c r="V278">
        <f t="shared" si="79"/>
        <v>6.0391412479384714</v>
      </c>
      <c r="X278">
        <f t="shared" si="80"/>
        <v>-6.8362244738492403E-3</v>
      </c>
      <c r="Y278">
        <f t="shared" si="81"/>
        <v>1.5776326045171782</v>
      </c>
      <c r="Z278">
        <f t="shared" si="82"/>
        <v>90.391689861066055</v>
      </c>
      <c r="AA278">
        <f t="shared" si="83"/>
        <v>6.0261126574044033</v>
      </c>
      <c r="AB278">
        <f t="shared" si="84"/>
        <v>11.947774685191193</v>
      </c>
    </row>
    <row r="279" spans="10:28" x14ac:dyDescent="0.3">
      <c r="J279">
        <v>274</v>
      </c>
      <c r="K279">
        <f t="shared" si="68"/>
        <v>-0.39794863130761032</v>
      </c>
      <c r="L279">
        <f t="shared" si="69"/>
        <v>279.91786447638606</v>
      </c>
      <c r="M279">
        <f t="shared" si="70"/>
        <v>4.88548837026421</v>
      </c>
      <c r="N279">
        <f t="shared" si="71"/>
        <v>0.17223624302768201</v>
      </c>
      <c r="O279">
        <f t="shared" si="72"/>
        <v>-6.8541177174430992E-2</v>
      </c>
      <c r="P279">
        <f t="shared" si="73"/>
        <v>-6.8594957465559783E-2</v>
      </c>
      <c r="Q279">
        <f t="shared" si="74"/>
        <v>-3.9302015586559733</v>
      </c>
      <c r="R279">
        <f t="shared" si="75"/>
        <v>-6.8702746230570683E-2</v>
      </c>
      <c r="S279">
        <f t="shared" si="76"/>
        <v>-1.1371954436092839E-2</v>
      </c>
      <c r="T279">
        <f t="shared" si="77"/>
        <v>1.5821685263513332</v>
      </c>
      <c r="U279">
        <f t="shared" si="78"/>
        <v>90.65157903836436</v>
      </c>
      <c r="V279">
        <f t="shared" si="79"/>
        <v>6.0434386025576243</v>
      </c>
      <c r="X279">
        <f t="shared" si="80"/>
        <v>-7.5867492670787821E-3</v>
      </c>
      <c r="Y279">
        <f t="shared" si="81"/>
        <v>1.5783831488445128</v>
      </c>
      <c r="Z279">
        <f t="shared" si="82"/>
        <v>90.434692883359816</v>
      </c>
      <c r="AA279">
        <f t="shared" si="83"/>
        <v>6.0289795255573209</v>
      </c>
      <c r="AB279">
        <f t="shared" si="84"/>
        <v>11.942040948885358</v>
      </c>
    </row>
    <row r="280" spans="10:28" x14ac:dyDescent="0.3">
      <c r="J280">
        <v>275</v>
      </c>
      <c r="K280">
        <f t="shared" si="68"/>
        <v>-0.39794863130761032</v>
      </c>
      <c r="L280">
        <f t="shared" si="69"/>
        <v>280.90349075975359</v>
      </c>
      <c r="M280">
        <f t="shared" si="70"/>
        <v>4.9026907941031679</v>
      </c>
      <c r="N280">
        <f t="shared" si="71"/>
        <v>0.18915526872004093</v>
      </c>
      <c r="O280">
        <f t="shared" si="72"/>
        <v>-7.5274080291763523E-2</v>
      </c>
      <c r="P280">
        <f t="shared" si="73"/>
        <v>-7.5345348331103262E-2</v>
      </c>
      <c r="Q280">
        <f t="shared" si="74"/>
        <v>-4.3169704653152783</v>
      </c>
      <c r="R280">
        <f t="shared" si="75"/>
        <v>-7.5488249378090885E-2</v>
      </c>
      <c r="S280">
        <f t="shared" si="76"/>
        <v>-1.2495118164666303E-2</v>
      </c>
      <c r="T280">
        <f t="shared" si="77"/>
        <v>1.5832917701219973</v>
      </c>
      <c r="U280">
        <f t="shared" si="78"/>
        <v>90.715936165787781</v>
      </c>
      <c r="V280">
        <f t="shared" si="79"/>
        <v>6.0477290777191852</v>
      </c>
      <c r="X280">
        <f t="shared" si="80"/>
        <v>-8.3360629969614266E-3</v>
      </c>
      <c r="Y280">
        <f t="shared" si="81"/>
        <v>1.5791324863403053</v>
      </c>
      <c r="Z280">
        <f t="shared" si="82"/>
        <v>90.477626759299625</v>
      </c>
      <c r="AA280">
        <f t="shared" si="83"/>
        <v>6.0318417839533085</v>
      </c>
      <c r="AB280">
        <f t="shared" si="84"/>
        <v>11.936316432093383</v>
      </c>
    </row>
    <row r="281" spans="10:28" x14ac:dyDescent="0.3">
      <c r="J281">
        <v>276</v>
      </c>
      <c r="K281">
        <f t="shared" si="68"/>
        <v>-0.39794863130761032</v>
      </c>
      <c r="L281">
        <f t="shared" si="69"/>
        <v>281.88911704312113</v>
      </c>
      <c r="M281">
        <f t="shared" si="70"/>
        <v>4.9198932179421266</v>
      </c>
      <c r="N281">
        <f t="shared" si="71"/>
        <v>0.20601832032517084</v>
      </c>
      <c r="O281">
        <f t="shared" si="72"/>
        <v>-8.1984708597694578E-2</v>
      </c>
      <c r="P281">
        <f t="shared" si="73"/>
        <v>-8.2076830776512025E-2</v>
      </c>
      <c r="Q281">
        <f t="shared" si="74"/>
        <v>-4.7026559993036026</v>
      </c>
      <c r="R281">
        <f t="shared" si="75"/>
        <v>-8.2261635202012545E-2</v>
      </c>
      <c r="S281">
        <f t="shared" si="76"/>
        <v>-1.3616276185179894E-2</v>
      </c>
      <c r="T281">
        <f t="shared" si="77"/>
        <v>1.5844130237648744</v>
      </c>
      <c r="U281">
        <f t="shared" si="78"/>
        <v>90.780179267288304</v>
      </c>
      <c r="V281">
        <f t="shared" si="79"/>
        <v>6.0520119511525534</v>
      </c>
      <c r="X281">
        <f t="shared" si="80"/>
        <v>-9.0840386275543895E-3</v>
      </c>
      <c r="Y281">
        <f t="shared" si="81"/>
        <v>1.579880490362535</v>
      </c>
      <c r="Z281">
        <f t="shared" si="82"/>
        <v>90.520484232832189</v>
      </c>
      <c r="AA281">
        <f t="shared" si="83"/>
        <v>6.0346989488554792</v>
      </c>
      <c r="AB281">
        <f t="shared" si="84"/>
        <v>11.930602102289042</v>
      </c>
    </row>
    <row r="282" spans="10:28" x14ac:dyDescent="0.3">
      <c r="J282">
        <v>277</v>
      </c>
      <c r="K282">
        <f t="shared" si="68"/>
        <v>-0.39794863130761032</v>
      </c>
      <c r="L282">
        <f t="shared" si="69"/>
        <v>282.87474332648873</v>
      </c>
      <c r="M282">
        <f t="shared" si="70"/>
        <v>4.9370956417810854</v>
      </c>
      <c r="N282">
        <f t="shared" si="71"/>
        <v>0.22282040779480045</v>
      </c>
      <c r="O282">
        <f t="shared" si="72"/>
        <v>-8.8671076309344427E-2</v>
      </c>
      <c r="P282">
        <f t="shared" si="73"/>
        <v>-8.8787686305830296E-2</v>
      </c>
      <c r="Q282">
        <f t="shared" si="74"/>
        <v>-5.0871596980555713</v>
      </c>
      <c r="R282">
        <f t="shared" si="75"/>
        <v>-8.9021736302269505E-2</v>
      </c>
      <c r="S282">
        <f t="shared" si="76"/>
        <v>-1.4735235264886898E-2</v>
      </c>
      <c r="T282">
        <f t="shared" si="77"/>
        <v>1.5855320953485179</v>
      </c>
      <c r="U282">
        <f t="shared" si="78"/>
        <v>90.844297346004097</v>
      </c>
      <c r="V282">
        <f t="shared" si="79"/>
        <v>6.0562864897336066</v>
      </c>
      <c r="X282">
        <f t="shared" si="80"/>
        <v>-9.8305472444825976E-3</v>
      </c>
      <c r="Y282">
        <f t="shared" si="81"/>
        <v>1.5806270323830545</v>
      </c>
      <c r="Z282">
        <f t="shared" si="82"/>
        <v>90.563257939837129</v>
      </c>
      <c r="AA282">
        <f t="shared" si="83"/>
        <v>6.0375505293224752</v>
      </c>
      <c r="AB282">
        <f t="shared" si="84"/>
        <v>11.92489894135505</v>
      </c>
    </row>
    <row r="283" spans="10:28" x14ac:dyDescent="0.3">
      <c r="J283">
        <v>278</v>
      </c>
      <c r="K283">
        <f t="shared" si="68"/>
        <v>-0.39794863130761032</v>
      </c>
      <c r="L283">
        <f t="shared" si="69"/>
        <v>283.86036960985626</v>
      </c>
      <c r="M283">
        <f t="shared" si="70"/>
        <v>4.9542980656200433</v>
      </c>
      <c r="N283">
        <f t="shared" si="71"/>
        <v>0.23955655912092708</v>
      </c>
      <c r="O283">
        <f t="shared" si="72"/>
        <v>-9.5331204822933557E-2</v>
      </c>
      <c r="P283">
        <f t="shared" si="73"/>
        <v>-9.5476194171830009E-2</v>
      </c>
      <c r="Q283">
        <f t="shared" si="74"/>
        <v>-5.4703829700174076</v>
      </c>
      <c r="R283">
        <f t="shared" si="75"/>
        <v>-9.5767366812683372E-2</v>
      </c>
      <c r="S283">
        <f t="shared" si="76"/>
        <v>-1.5851799114455549E-2</v>
      </c>
      <c r="T283">
        <f t="shared" si="77"/>
        <v>1.58664878985655</v>
      </c>
      <c r="U283">
        <f t="shared" si="78"/>
        <v>90.90827922831977</v>
      </c>
      <c r="V283">
        <f t="shared" si="79"/>
        <v>6.0605519485546511</v>
      </c>
      <c r="X283">
        <f t="shared" si="80"/>
        <v>-1.0575457894183734E-2</v>
      </c>
      <c r="Y283">
        <f t="shared" si="81"/>
        <v>1.581371981826083</v>
      </c>
      <c r="Z283">
        <f t="shared" si="82"/>
        <v>90.605940398873273</v>
      </c>
      <c r="AA283">
        <f t="shared" si="83"/>
        <v>6.0403960265915515</v>
      </c>
      <c r="AB283">
        <f t="shared" si="84"/>
        <v>11.919207946816897</v>
      </c>
    </row>
    <row r="284" spans="10:28" x14ac:dyDescent="0.3">
      <c r="J284">
        <v>279</v>
      </c>
      <c r="K284">
        <f t="shared" si="68"/>
        <v>-0.39794863130761032</v>
      </c>
      <c r="L284">
        <f t="shared" si="69"/>
        <v>284.8459958932238</v>
      </c>
      <c r="M284">
        <f t="shared" si="70"/>
        <v>4.9715004894590011</v>
      </c>
      <c r="N284">
        <f t="shared" si="71"/>
        <v>0.25622182180711539</v>
      </c>
      <c r="O284">
        <f t="shared" si="72"/>
        <v>-0.10196312329928399</v>
      </c>
      <c r="P284">
        <f t="shared" si="73"/>
        <v>-0.10214063125241535</v>
      </c>
      <c r="Q284">
        <f t="shared" si="74"/>
        <v>-5.852227087565435</v>
      </c>
      <c r="R284">
        <f t="shared" si="75"/>
        <v>-0.10249732096808284</v>
      </c>
      <c r="S284">
        <f t="shared" si="76"/>
        <v>-1.6965768150792874E-2</v>
      </c>
      <c r="T284">
        <f t="shared" si="77"/>
        <v>1.5877629089479139</v>
      </c>
      <c r="U284">
        <f t="shared" si="78"/>
        <v>90.97211355012989</v>
      </c>
      <c r="V284">
        <f t="shared" si="79"/>
        <v>6.064807570008659</v>
      </c>
      <c r="X284">
        <f t="shared" si="80"/>
        <v>-1.131863742567721E-2</v>
      </c>
      <c r="Y284">
        <f t="shared" si="81"/>
        <v>1.5821152059092107</v>
      </c>
      <c r="Z284">
        <f t="shared" si="82"/>
        <v>90.648524002068967</v>
      </c>
      <c r="AA284">
        <f t="shared" si="83"/>
        <v>6.0432349334712647</v>
      </c>
      <c r="AB284">
        <f t="shared" si="84"/>
        <v>11.913530133057471</v>
      </c>
    </row>
    <row r="285" spans="10:28" x14ac:dyDescent="0.3">
      <c r="J285">
        <v>280</v>
      </c>
      <c r="K285">
        <f t="shared" si="68"/>
        <v>-0.39794863130761032</v>
      </c>
      <c r="L285">
        <f t="shared" si="69"/>
        <v>285.8316221765914</v>
      </c>
      <c r="M285">
        <f t="shared" si="70"/>
        <v>4.9887029132979608</v>
      </c>
      <c r="N285">
        <f t="shared" si="71"/>
        <v>0.27281126433401998</v>
      </c>
      <c r="O285">
        <f t="shared" si="72"/>
        <v>-0.10856486924702194</v>
      </c>
      <c r="P285">
        <f t="shared" si="73"/>
        <v>-0.10877927194223228</v>
      </c>
      <c r="Q285">
        <f t="shared" si="74"/>
        <v>-6.2325931807957629</v>
      </c>
      <c r="R285">
        <f t="shared" si="75"/>
        <v>-0.10921037169682581</v>
      </c>
      <c r="S285">
        <f t="shared" si="76"/>
        <v>-1.8076939264073284E-2</v>
      </c>
      <c r="T285">
        <f t="shared" si="77"/>
        <v>1.5888742507212839</v>
      </c>
      <c r="U285">
        <f t="shared" si="78"/>
        <v>91.035788743340561</v>
      </c>
      <c r="V285">
        <f t="shared" si="79"/>
        <v>6.0690525828893707</v>
      </c>
      <c r="X285">
        <f t="shared" si="80"/>
        <v>-1.205995033513833E-2</v>
      </c>
      <c r="Y285">
        <f t="shared" si="81"/>
        <v>1.5828565694871941</v>
      </c>
      <c r="Z285">
        <f t="shared" si="82"/>
        <v>90.691001006172144</v>
      </c>
      <c r="AA285">
        <f t="shared" si="83"/>
        <v>6.0460667337448095</v>
      </c>
      <c r="AB285">
        <f t="shared" si="84"/>
        <v>11.907866532510381</v>
      </c>
    </row>
    <row r="286" spans="10:28" x14ac:dyDescent="0.3">
      <c r="J286">
        <v>281</v>
      </c>
      <c r="K286">
        <f t="shared" si="68"/>
        <v>-0.39794863130761032</v>
      </c>
      <c r="L286">
        <f t="shared" si="69"/>
        <v>286.81724845995893</v>
      </c>
      <c r="M286">
        <f t="shared" si="70"/>
        <v>5.0059053371369187</v>
      </c>
      <c r="N286">
        <f t="shared" si="71"/>
        <v>0.28931997761869527</v>
      </c>
      <c r="O286">
        <f t="shared" si="72"/>
        <v>-0.11513448910330823</v>
      </c>
      <c r="P286">
        <f t="shared" si="73"/>
        <v>-0.11539038806069737</v>
      </c>
      <c r="Q286">
        <f t="shared" si="74"/>
        <v>-6.6113822322547238</v>
      </c>
      <c r="R286">
        <f t="shared" si="75"/>
        <v>-0.11590526924141807</v>
      </c>
      <c r="S286">
        <f t="shared" si="76"/>
        <v>-1.918510558941787E-2</v>
      </c>
      <c r="T286">
        <f t="shared" si="77"/>
        <v>1.5899826094840801</v>
      </c>
      <c r="U286">
        <f t="shared" si="78"/>
        <v>91.099293022635123</v>
      </c>
      <c r="V286">
        <f t="shared" si="79"/>
        <v>6.0732862015090081</v>
      </c>
      <c r="X286">
        <f t="shared" si="80"/>
        <v>-1.279925861357512E-2</v>
      </c>
      <c r="Y286">
        <f t="shared" si="81"/>
        <v>1.5835959348988391</v>
      </c>
      <c r="Z286">
        <f t="shared" si="82"/>
        <v>90.733363523777356</v>
      </c>
      <c r="AA286">
        <f t="shared" si="83"/>
        <v>6.0488909015851569</v>
      </c>
      <c r="AB286">
        <f t="shared" si="84"/>
        <v>11.902218196829686</v>
      </c>
    </row>
    <row r="287" spans="10:28" x14ac:dyDescent="0.3">
      <c r="J287">
        <v>282</v>
      </c>
      <c r="K287">
        <f t="shared" si="68"/>
        <v>-0.39794863130761032</v>
      </c>
      <c r="L287">
        <f t="shared" si="69"/>
        <v>287.80287474332647</v>
      </c>
      <c r="M287">
        <f t="shared" si="70"/>
        <v>5.0231077609758765</v>
      </c>
      <c r="N287">
        <f t="shared" si="71"/>
        <v>0.30574307646728227</v>
      </c>
      <c r="O287">
        <f t="shared" si="72"/>
        <v>-0.12167003881193303</v>
      </c>
      <c r="P287">
        <f t="shared" si="73"/>
        <v>-0.12197224877767902</v>
      </c>
      <c r="Q287">
        <f t="shared" si="74"/>
        <v>-6.9884950726807222</v>
      </c>
      <c r="R287">
        <f t="shared" si="75"/>
        <v>-0.12258073981008999</v>
      </c>
      <c r="S287">
        <f t="shared" si="76"/>
        <v>-2.0290056283697927E-2</v>
      </c>
      <c r="T287">
        <f t="shared" si="77"/>
        <v>1.5910877755265571</v>
      </c>
      <c r="U287">
        <f t="shared" si="78"/>
        <v>91.162614372530228</v>
      </c>
      <c r="V287">
        <f t="shared" si="79"/>
        <v>6.0775076248353486</v>
      </c>
      <c r="X287">
        <f t="shared" si="80"/>
        <v>-1.3536421597923804E-2</v>
      </c>
      <c r="Y287">
        <f t="shared" si="81"/>
        <v>1.5843331618172907</v>
      </c>
      <c r="Z287">
        <f t="shared" si="82"/>
        <v>90.775603514748056</v>
      </c>
      <c r="AA287">
        <f t="shared" si="83"/>
        <v>6.0517069009832039</v>
      </c>
      <c r="AB287">
        <f t="shared" si="84"/>
        <v>11.896586198033592</v>
      </c>
    </row>
    <row r="288" spans="10:28" x14ac:dyDescent="0.3">
      <c r="J288">
        <v>283</v>
      </c>
      <c r="K288">
        <f t="shared" si="68"/>
        <v>-0.39794863130761032</v>
      </c>
      <c r="L288">
        <f t="shared" si="69"/>
        <v>288.78850102669406</v>
      </c>
      <c r="M288">
        <f t="shared" si="70"/>
        <v>5.0403101848148362</v>
      </c>
      <c r="N288">
        <f t="shared" si="71"/>
        <v>0.32207570102061123</v>
      </c>
      <c r="O288">
        <f t="shared" si="72"/>
        <v>-0.12816958439859136</v>
      </c>
      <c r="P288">
        <f t="shared" si="73"/>
        <v>-0.12852312055804985</v>
      </c>
      <c r="Q288">
        <f t="shared" si="74"/>
        <v>-7.3638323778273227</v>
      </c>
      <c r="R288">
        <f t="shared" si="75"/>
        <v>-0.12923548426233555</v>
      </c>
      <c r="S288">
        <f t="shared" si="76"/>
        <v>-2.1391576307960132E-2</v>
      </c>
      <c r="T288">
        <f t="shared" si="77"/>
        <v>1.5921895349014674</v>
      </c>
      <c r="U288">
        <f t="shared" si="78"/>
        <v>91.225740534751566</v>
      </c>
      <c r="V288">
        <f t="shared" si="79"/>
        <v>6.0817160356501043</v>
      </c>
      <c r="X288">
        <f t="shared" si="80"/>
        <v>-1.4271295825894694E-2</v>
      </c>
      <c r="Y288">
        <f t="shared" si="81"/>
        <v>1.5850681071040584</v>
      </c>
      <c r="Z288">
        <f t="shared" si="82"/>
        <v>90.817712777852876</v>
      </c>
      <c r="AA288">
        <f t="shared" si="83"/>
        <v>6.0545141851901914</v>
      </c>
      <c r="AB288">
        <f t="shared" si="84"/>
        <v>11.890971629619617</v>
      </c>
    </row>
    <row r="289" spans="10:28" x14ac:dyDescent="0.3">
      <c r="J289">
        <v>284</v>
      </c>
      <c r="K289">
        <f t="shared" si="68"/>
        <v>-0.39794863130761032</v>
      </c>
      <c r="L289">
        <f t="shared" si="69"/>
        <v>289.7741273100616</v>
      </c>
      <c r="M289">
        <f t="shared" si="70"/>
        <v>5.057512608653794</v>
      </c>
      <c r="N289">
        <f t="shared" si="71"/>
        <v>0.33831301819230669</v>
      </c>
      <c r="O289">
        <f t="shared" si="72"/>
        <v>-0.13463120254317512</v>
      </c>
      <c r="P289">
        <f t="shared" si="73"/>
        <v>-0.13504126712635528</v>
      </c>
      <c r="Q289">
        <f t="shared" si="74"/>
        <v>-7.7372946664389044</v>
      </c>
      <c r="R289">
        <f t="shared" si="75"/>
        <v>-0.13586817683160915</v>
      </c>
      <c r="S289">
        <f t="shared" si="76"/>
        <v>-2.248944621600215E-2</v>
      </c>
      <c r="T289">
        <f t="shared" si="77"/>
        <v>1.5932876692098294</v>
      </c>
      <c r="U289">
        <f t="shared" si="78"/>
        <v>91.288658995959224</v>
      </c>
      <c r="V289">
        <f t="shared" si="79"/>
        <v>6.0859105997306147</v>
      </c>
      <c r="X289">
        <f t="shared" si="80"/>
        <v>-1.5003734894921373E-2</v>
      </c>
      <c r="Y289">
        <f t="shared" si="81"/>
        <v>1.5858006246671299</v>
      </c>
      <c r="Z289">
        <f t="shared" si="82"/>
        <v>90.859682942636084</v>
      </c>
      <c r="AA289">
        <f t="shared" si="83"/>
        <v>6.0573121961757392</v>
      </c>
      <c r="AB289">
        <f t="shared" si="84"/>
        <v>11.885375607648522</v>
      </c>
    </row>
    <row r="290" spans="10:28" x14ac:dyDescent="0.3">
      <c r="J290">
        <v>285</v>
      </c>
      <c r="K290">
        <f t="shared" si="68"/>
        <v>-0.39794863130761032</v>
      </c>
      <c r="L290">
        <f t="shared" si="69"/>
        <v>290.75975359342914</v>
      </c>
      <c r="M290">
        <f t="shared" si="70"/>
        <v>5.0747150324927528</v>
      </c>
      <c r="N290">
        <f t="shared" si="71"/>
        <v>0.35445022309898688</v>
      </c>
      <c r="O290">
        <f t="shared" si="72"/>
        <v>-0.14105298114891895</v>
      </c>
      <c r="P290">
        <f t="shared" si="73"/>
        <v>-0.1415249494528496</v>
      </c>
      <c r="Q290">
        <f t="shared" si="74"/>
        <v>-8.108782299450592</v>
      </c>
      <c r="R290">
        <f t="shared" si="75"/>
        <v>-0.14247746388855351</v>
      </c>
      <c r="S290">
        <f t="shared" si="76"/>
        <v>-2.3583441949657193E-2</v>
      </c>
      <c r="T290">
        <f t="shared" si="77"/>
        <v>1.5943819553933554</v>
      </c>
      <c r="U290">
        <f t="shared" si="78"/>
        <v>91.351356975854742</v>
      </c>
      <c r="V290">
        <f t="shared" si="79"/>
        <v>6.0900904650569831</v>
      </c>
      <c r="X290">
        <f t="shared" si="80"/>
        <v>-1.5733589325585655E-2</v>
      </c>
      <c r="Y290">
        <f t="shared" si="81"/>
        <v>1.5865305653235493</v>
      </c>
      <c r="Z290">
        <f t="shared" si="82"/>
        <v>90.901505461543934</v>
      </c>
      <c r="AA290">
        <f t="shared" si="83"/>
        <v>6.0601003641029285</v>
      </c>
      <c r="AB290">
        <f t="shared" si="84"/>
        <v>11.879799271794143</v>
      </c>
    </row>
    <row r="291" spans="10:28" x14ac:dyDescent="0.3">
      <c r="J291">
        <v>286</v>
      </c>
      <c r="K291">
        <f t="shared" si="68"/>
        <v>-0.39794863130761032</v>
      </c>
      <c r="L291">
        <f t="shared" si="69"/>
        <v>291.74537987679673</v>
      </c>
      <c r="M291">
        <f t="shared" si="70"/>
        <v>5.0919174563317116</v>
      </c>
      <c r="N291">
        <f t="shared" si="71"/>
        <v>0.37048254048209628</v>
      </c>
      <c r="O291">
        <f t="shared" si="72"/>
        <v>-0.14743301990821656</v>
      </c>
      <c r="P291">
        <f t="shared" si="73"/>
        <v>-0.14797242576213251</v>
      </c>
      <c r="Q291">
        <f t="shared" si="74"/>
        <v>-8.4781954804830875</v>
      </c>
      <c r="R291">
        <f t="shared" si="75"/>
        <v>-0.14906196274829261</v>
      </c>
      <c r="S291">
        <f t="shared" si="76"/>
        <v>-2.4673334641372325E-2</v>
      </c>
      <c r="T291">
        <f t="shared" si="77"/>
        <v>1.5954721655341328</v>
      </c>
      <c r="U291">
        <f t="shared" si="78"/>
        <v>91.413821415703651</v>
      </c>
      <c r="V291">
        <f t="shared" si="79"/>
        <v>6.0942547610469102</v>
      </c>
      <c r="X291">
        <f t="shared" si="80"/>
        <v>-1.64607064299086E-2</v>
      </c>
      <c r="Y291">
        <f t="shared" si="81"/>
        <v>1.587257776666847</v>
      </c>
      <c r="Z291">
        <f t="shared" si="82"/>
        <v>90.943171602328931</v>
      </c>
      <c r="AA291">
        <f t="shared" si="83"/>
        <v>6.0628781068219286</v>
      </c>
      <c r="AB291">
        <f t="shared" si="84"/>
        <v>11.874243786356143</v>
      </c>
    </row>
    <row r="292" spans="10:28" x14ac:dyDescent="0.3">
      <c r="J292">
        <v>287</v>
      </c>
      <c r="K292">
        <f t="shared" si="68"/>
        <v>-0.39794863130761032</v>
      </c>
      <c r="L292">
        <f t="shared" si="69"/>
        <v>292.73100616016427</v>
      </c>
      <c r="M292">
        <f t="shared" si="70"/>
        <v>5.1091198801706694</v>
      </c>
      <c r="N292">
        <f t="shared" si="71"/>
        <v>0.38640522612098532</v>
      </c>
      <c r="O292">
        <f t="shared" si="72"/>
        <v>-0.15376943086495379</v>
      </c>
      <c r="P292">
        <f t="shared" si="73"/>
        <v>-0.15438195156565218</v>
      </c>
      <c r="Q292">
        <f t="shared" si="74"/>
        <v>-8.8454342577049623</v>
      </c>
      <c r="R292">
        <f t="shared" si="75"/>
        <v>-0.15562026052553882</v>
      </c>
      <c r="S292">
        <f t="shared" si="76"/>
        <v>-2.5758890424701211E-2</v>
      </c>
      <c r="T292">
        <f t="shared" si="77"/>
        <v>1.5965580666621788</v>
      </c>
      <c r="U292">
        <f t="shared" si="78"/>
        <v>91.476038967309194</v>
      </c>
      <c r="V292">
        <f t="shared" si="79"/>
        <v>6.0984025978206127</v>
      </c>
      <c r="X292">
        <f t="shared" si="80"/>
        <v>-1.7184930184921572E-2</v>
      </c>
      <c r="Y292">
        <f t="shared" si="81"/>
        <v>1.5879821029397387</v>
      </c>
      <c r="Z292">
        <f t="shared" si="82"/>
        <v>90.984672440756071</v>
      </c>
      <c r="AA292">
        <f t="shared" si="83"/>
        <v>6.0656448293837384</v>
      </c>
      <c r="AB292">
        <f t="shared" si="84"/>
        <v>11.868710341232523</v>
      </c>
    </row>
    <row r="293" spans="10:28" x14ac:dyDescent="0.3">
      <c r="J293">
        <v>288</v>
      </c>
      <c r="K293">
        <f t="shared" si="68"/>
        <v>-0.39794863130761032</v>
      </c>
      <c r="L293">
        <f t="shared" si="69"/>
        <v>293.71663244353181</v>
      </c>
      <c r="M293">
        <f t="shared" si="70"/>
        <v>5.1263223040096282</v>
      </c>
      <c r="N293">
        <f t="shared" si="71"/>
        <v>0.40221356823680365</v>
      </c>
      <c r="O293">
        <f t="shared" si="72"/>
        <v>-0.16006033897318614</v>
      </c>
      <c r="P293">
        <f t="shared" si="73"/>
        <v>-0.16075177971932081</v>
      </c>
      <c r="Q293">
        <f t="shared" si="74"/>
        <v>-9.2103985271337834</v>
      </c>
      <c r="R293">
        <f t="shared" si="75"/>
        <v>-0.16215091304143175</v>
      </c>
      <c r="S293">
        <f t="shared" si="76"/>
        <v>-2.6839870253359696E-2</v>
      </c>
      <c r="T293">
        <f t="shared" si="77"/>
        <v>1.5976394205715201</v>
      </c>
      <c r="U293">
        <f t="shared" si="78"/>
        <v>91.537995982474413</v>
      </c>
      <c r="V293">
        <f t="shared" si="79"/>
        <v>6.1025330654982941</v>
      </c>
      <c r="X293">
        <f t="shared" si="80"/>
        <v>-1.790610111194996E-2</v>
      </c>
      <c r="Y293">
        <f t="shared" si="81"/>
        <v>1.5887033849125276</v>
      </c>
      <c r="Z293">
        <f t="shared" si="82"/>
        <v>91.025998853635741</v>
      </c>
      <c r="AA293">
        <f t="shared" si="83"/>
        <v>6.0683999235757158</v>
      </c>
      <c r="AB293">
        <f t="shared" si="84"/>
        <v>11.863200152848568</v>
      </c>
    </row>
    <row r="294" spans="10:28" x14ac:dyDescent="0.3">
      <c r="J294">
        <v>289</v>
      </c>
      <c r="K294">
        <f t="shared" si="68"/>
        <v>-0.39794863130761032</v>
      </c>
      <c r="L294">
        <f t="shared" si="69"/>
        <v>294.7022587268994</v>
      </c>
      <c r="M294">
        <f t="shared" si="70"/>
        <v>5.1435247278485869</v>
      </c>
      <c r="N294">
        <f t="shared" si="71"/>
        <v>0.41790288888678667</v>
      </c>
      <c r="O294">
        <f t="shared" si="72"/>
        <v>-0.16630388265199311</v>
      </c>
      <c r="P294">
        <f t="shared" si="73"/>
        <v>-0.16708016050749125</v>
      </c>
      <c r="Q294">
        <f t="shared" si="74"/>
        <v>-9.5729880374476242</v>
      </c>
      <c r="R294">
        <f t="shared" si="75"/>
        <v>-0.16865244378622013</v>
      </c>
      <c r="S294">
        <f t="shared" si="76"/>
        <v>-2.7916029729524727E-2</v>
      </c>
      <c r="T294">
        <f t="shared" si="77"/>
        <v>1.5987159836454861</v>
      </c>
      <c r="U294">
        <f t="shared" si="78"/>
        <v>91.59967850299229</v>
      </c>
      <c r="V294">
        <f t="shared" si="79"/>
        <v>6.1066452335328192</v>
      </c>
      <c r="X294">
        <f t="shared" si="80"/>
        <v>-1.8624056162063592E-2</v>
      </c>
      <c r="Y294">
        <f t="shared" si="81"/>
        <v>1.5894214597676617</v>
      </c>
      <c r="Z294">
        <f t="shared" si="82"/>
        <v>91.067141512209403</v>
      </c>
      <c r="AA294">
        <f t="shared" si="83"/>
        <v>6.0711427674806266</v>
      </c>
      <c r="AB294">
        <f t="shared" si="84"/>
        <v>11.857714465038747</v>
      </c>
    </row>
    <row r="295" spans="10:28" x14ac:dyDescent="0.3">
      <c r="J295">
        <v>290</v>
      </c>
      <c r="K295">
        <f t="shared" si="68"/>
        <v>-0.39794863130761032</v>
      </c>
      <c r="L295">
        <f t="shared" si="69"/>
        <v>295.68788501026694</v>
      </c>
      <c r="M295">
        <f t="shared" si="70"/>
        <v>5.1607271516875448</v>
      </c>
      <c r="N295">
        <f t="shared" si="71"/>
        <v>0.43346854534853629</v>
      </c>
      <c r="O295">
        <f t="shared" si="72"/>
        <v>-0.17249821433635085</v>
      </c>
      <c r="P295">
        <f t="shared" si="73"/>
        <v>-0.17336534175454651</v>
      </c>
      <c r="Q295">
        <f t="shared" si="74"/>
        <v>-9.9331023963786613</v>
      </c>
      <c r="R295">
        <f t="shared" si="75"/>
        <v>-0.17512334294209289</v>
      </c>
      <c r="S295">
        <f t="shared" si="76"/>
        <v>-2.8987118942089461E-2</v>
      </c>
      <c r="T295">
        <f t="shared" si="77"/>
        <v>1.5997875066919309</v>
      </c>
      <c r="U295">
        <f t="shared" si="78"/>
        <v>91.661072251204587</v>
      </c>
      <c r="V295">
        <f t="shared" si="79"/>
        <v>6.110738150080306</v>
      </c>
      <c r="X295">
        <f t="shared" si="80"/>
        <v>-1.9338628608169296E-2</v>
      </c>
      <c r="Y295">
        <f t="shared" si="81"/>
        <v>1.5901361609909286</v>
      </c>
      <c r="Z295">
        <f t="shared" si="82"/>
        <v>91.108090875915423</v>
      </c>
      <c r="AA295">
        <f t="shared" si="83"/>
        <v>6.0738727250610278</v>
      </c>
      <c r="AB295">
        <f t="shared" si="84"/>
        <v>11.852254549877944</v>
      </c>
    </row>
    <row r="296" spans="10:28" x14ac:dyDescent="0.3">
      <c r="J296">
        <v>291</v>
      </c>
      <c r="K296">
        <f t="shared" si="68"/>
        <v>-0.39794863130761032</v>
      </c>
      <c r="L296">
        <f t="shared" si="69"/>
        <v>296.67351129363448</v>
      </c>
      <c r="M296">
        <f t="shared" si="70"/>
        <v>5.1779295755265036</v>
      </c>
      <c r="N296">
        <f t="shared" si="71"/>
        <v>0.44890593149387981</v>
      </c>
      <c r="O296">
        <f t="shared" si="72"/>
        <v>-0.17864150102385734</v>
      </c>
      <c r="P296">
        <f t="shared" si="73"/>
        <v>-0.17960556896533927</v>
      </c>
      <c r="Q296">
        <f t="shared" si="74"/>
        <v>-10.29064107875978</v>
      </c>
      <c r="R296">
        <f t="shared" si="75"/>
        <v>-0.18156206647064649</v>
      </c>
      <c r="S296">
        <f t="shared" si="76"/>
        <v>-3.005288231561716E-2</v>
      </c>
      <c r="T296">
        <f t="shared" si="77"/>
        <v>1.6008537347891372</v>
      </c>
      <c r="U296">
        <f t="shared" si="78"/>
        <v>91.722162621172757</v>
      </c>
      <c r="V296">
        <f t="shared" si="79"/>
        <v>6.1148108414115168</v>
      </c>
      <c r="X296">
        <f t="shared" si="80"/>
        <v>-2.0049647944241199E-2</v>
      </c>
      <c r="Y296">
        <f t="shared" si="81"/>
        <v>1.5908473182697813</v>
      </c>
      <c r="Z296">
        <f t="shared" si="82"/>
        <v>91.148837186563696</v>
      </c>
      <c r="AA296">
        <f t="shared" si="83"/>
        <v>6.0765891457709129</v>
      </c>
      <c r="AB296">
        <f t="shared" si="84"/>
        <v>11.846821708458174</v>
      </c>
    </row>
    <row r="297" spans="10:28" x14ac:dyDescent="0.3">
      <c r="J297">
        <v>292</v>
      </c>
      <c r="K297">
        <f t="shared" si="68"/>
        <v>-0.39794863130761032</v>
      </c>
      <c r="L297">
        <f t="shared" si="69"/>
        <v>297.65913757700207</v>
      </c>
      <c r="M297">
        <f t="shared" si="70"/>
        <v>5.1951319993654623</v>
      </c>
      <c r="N297">
        <f t="shared" si="71"/>
        <v>0.46421047915189229</v>
      </c>
      <c r="O297">
        <f t="shared" si="72"/>
        <v>-0.18473192481714551</v>
      </c>
      <c r="P297">
        <f t="shared" si="73"/>
        <v>-0.18579908549570659</v>
      </c>
      <c r="Q297">
        <f t="shared" si="74"/>
        <v>-10.645503436294337</v>
      </c>
      <c r="R297">
        <f t="shared" si="75"/>
        <v>-0.18796703526965389</v>
      </c>
      <c r="S297">
        <f t="shared" si="76"/>
        <v>-3.1113058470766227E-2</v>
      </c>
      <c r="T297">
        <f t="shared" si="77"/>
        <v>1.6019144071431781</v>
      </c>
      <c r="U297">
        <f t="shared" si="78"/>
        <v>91.782934670505526</v>
      </c>
      <c r="V297">
        <f t="shared" si="79"/>
        <v>6.1188623113670353</v>
      </c>
      <c r="X297">
        <f t="shared" si="80"/>
        <v>-2.0756939792203888E-2</v>
      </c>
      <c r="Y297">
        <f t="shared" si="81"/>
        <v>1.5915547573993141</v>
      </c>
      <c r="Z297">
        <f t="shared" si="82"/>
        <v>91.189370462948332</v>
      </c>
      <c r="AA297">
        <f t="shared" si="83"/>
        <v>6.0792913641965551</v>
      </c>
      <c r="AB297">
        <f t="shared" si="84"/>
        <v>11.84141727160689</v>
      </c>
    </row>
    <row r="298" spans="10:28" x14ac:dyDescent="0.3">
      <c r="J298">
        <v>293</v>
      </c>
      <c r="K298">
        <f t="shared" si="68"/>
        <v>-0.39794863130761032</v>
      </c>
      <c r="L298">
        <f t="shared" si="69"/>
        <v>298.64476386036961</v>
      </c>
      <c r="M298">
        <f t="shared" si="70"/>
        <v>5.2123344232044211</v>
      </c>
      <c r="N298">
        <f t="shared" si="71"/>
        <v>0.47937765946069527</v>
      </c>
      <c r="O298">
        <f t="shared" si="72"/>
        <v>-0.1907676834618294</v>
      </c>
      <c r="P298">
        <f t="shared" si="73"/>
        <v>-0.19194413275428046</v>
      </c>
      <c r="Q298">
        <f t="shared" si="74"/>
        <v>-10.997588709119055</v>
      </c>
      <c r="R298">
        <f t="shared" si="75"/>
        <v>-0.1943366344039891</v>
      </c>
      <c r="S298">
        <f t="shared" si="76"/>
        <v>-3.2167380096989738E-2</v>
      </c>
      <c r="T298">
        <f t="shared" si="77"/>
        <v>1.6029692569575515</v>
      </c>
      <c r="U298">
        <f t="shared" si="78"/>
        <v>91.843373112889267</v>
      </c>
      <c r="V298">
        <f t="shared" si="79"/>
        <v>6.1228915408592846</v>
      </c>
      <c r="X298">
        <f t="shared" si="80"/>
        <v>-2.1460325817004456E-2</v>
      </c>
      <c r="Y298">
        <f t="shared" si="81"/>
        <v>1.5922583001964268</v>
      </c>
      <c r="Z298">
        <f t="shared" si="82"/>
        <v>91.229680495929713</v>
      </c>
      <c r="AA298">
        <f t="shared" si="83"/>
        <v>6.0819786997286478</v>
      </c>
      <c r="AB298">
        <f t="shared" si="84"/>
        <v>11.836042600542704</v>
      </c>
    </row>
    <row r="299" spans="10:28" x14ac:dyDescent="0.3">
      <c r="J299">
        <v>294</v>
      </c>
      <c r="K299">
        <f t="shared" si="68"/>
        <v>-0.39794863130761032</v>
      </c>
      <c r="L299">
        <f t="shared" si="69"/>
        <v>299.63039014373715</v>
      </c>
      <c r="M299">
        <f t="shared" si="70"/>
        <v>5.229536847043379</v>
      </c>
      <c r="N299">
        <f t="shared" si="71"/>
        <v>0.49440298420761813</v>
      </c>
      <c r="O299">
        <f t="shared" si="72"/>
        <v>-0.19674699087981973</v>
      </c>
      <c r="P299">
        <f t="shared" si="73"/>
        <v>-0.19803895043678529</v>
      </c>
      <c r="Q299">
        <f t="shared" si="74"/>
        <v>-11.346796039228289</v>
      </c>
      <c r="R299">
        <f t="shared" si="75"/>
        <v>-0.20066921241571498</v>
      </c>
      <c r="S299">
        <f t="shared" si="76"/>
        <v>-3.3215573838338404E-2</v>
      </c>
      <c r="T299">
        <f t="shared" si="77"/>
        <v>1.604018011315927</v>
      </c>
      <c r="U299">
        <f t="shared" si="78"/>
        <v>91.903462311370134</v>
      </c>
      <c r="V299">
        <f t="shared" si="79"/>
        <v>6.1268974874246753</v>
      </c>
      <c r="X299">
        <f t="shared" si="80"/>
        <v>-2.2159623650426469E-2</v>
      </c>
      <c r="Y299">
        <f t="shared" si="81"/>
        <v>1.5929577644227346</v>
      </c>
      <c r="Z299">
        <f t="shared" si="82"/>
        <v>91.26975684401755</v>
      </c>
      <c r="AA299">
        <f t="shared" si="83"/>
        <v>6.0846504562678367</v>
      </c>
      <c r="AB299">
        <f t="shared" si="84"/>
        <v>11.830699087464327</v>
      </c>
    </row>
    <row r="300" spans="10:28" x14ac:dyDescent="0.3">
      <c r="J300">
        <v>295</v>
      </c>
      <c r="K300">
        <f t="shared" si="68"/>
        <v>-0.39794863130761032</v>
      </c>
      <c r="L300">
        <f t="shared" si="69"/>
        <v>300.61601642710474</v>
      </c>
      <c r="M300">
        <f t="shared" si="70"/>
        <v>5.2467392708823377</v>
      </c>
      <c r="N300">
        <f t="shared" si="71"/>
        <v>0.50928200715733563</v>
      </c>
      <c r="O300">
        <f t="shared" si="72"/>
        <v>-0.2026680776978543</v>
      </c>
      <c r="P300">
        <f t="shared" si="73"/>
        <v>-0.20408177679399844</v>
      </c>
      <c r="Q300">
        <f t="shared" si="74"/>
        <v>-11.693024485827015</v>
      </c>
      <c r="R300">
        <f t="shared" si="75"/>
        <v>-0.20696308071850977</v>
      </c>
      <c r="S300">
        <f t="shared" si="76"/>
        <v>-3.4257360193223639E-2</v>
      </c>
      <c r="T300">
        <f t="shared" si="77"/>
        <v>1.6050603910788699</v>
      </c>
      <c r="U300">
        <f t="shared" si="78"/>
        <v>91.963186272436616</v>
      </c>
      <c r="V300">
        <f t="shared" si="79"/>
        <v>6.1308790848291075</v>
      </c>
      <c r="X300">
        <f t="shared" si="80"/>
        <v>-2.2854646824217322E-2</v>
      </c>
      <c r="Y300">
        <f t="shared" si="81"/>
        <v>1.5936529637167964</v>
      </c>
      <c r="Z300">
        <f t="shared" si="82"/>
        <v>91.309588829487751</v>
      </c>
      <c r="AA300">
        <f t="shared" si="83"/>
        <v>6.0873059219658501</v>
      </c>
      <c r="AB300">
        <f t="shared" si="84"/>
        <v>11.8253881560683</v>
      </c>
    </row>
    <row r="301" spans="10:28" x14ac:dyDescent="0.3">
      <c r="J301">
        <v>296</v>
      </c>
      <c r="K301">
        <f t="shared" si="68"/>
        <v>-0.39794863130761032</v>
      </c>
      <c r="L301">
        <f t="shared" si="69"/>
        <v>301.60164271047228</v>
      </c>
      <c r="M301">
        <f t="shared" si="70"/>
        <v>5.2639416947212956</v>
      </c>
      <c r="N301">
        <f t="shared" si="71"/>
        <v>0.52401032536757486</v>
      </c>
      <c r="O301">
        <f t="shared" si="72"/>
        <v>-0.20852919177108198</v>
      </c>
      <c r="P301">
        <f t="shared" si="73"/>
        <v>-0.21007084893451411</v>
      </c>
      <c r="Q301">
        <f t="shared" si="74"/>
        <v>-12.036173042677945</v>
      </c>
      <c r="R301">
        <f t="shared" si="75"/>
        <v>-0.21321651308174205</v>
      </c>
      <c r="S301">
        <f t="shared" si="76"/>
        <v>-3.5292453429019537E-2</v>
      </c>
      <c r="T301">
        <f t="shared" si="77"/>
        <v>1.6060961107954359</v>
      </c>
      <c r="U301">
        <f t="shared" si="78"/>
        <v>92.022528640954334</v>
      </c>
      <c r="V301">
        <f t="shared" si="79"/>
        <v>6.134835242730289</v>
      </c>
      <c r="X301">
        <f t="shared" si="80"/>
        <v>-2.3545204713115341E-2</v>
      </c>
      <c r="Y301">
        <f t="shared" si="81"/>
        <v>1.5943437075362525</v>
      </c>
      <c r="Z301">
        <f t="shared" si="82"/>
        <v>91.349165535067343</v>
      </c>
      <c r="AA301">
        <f t="shared" si="83"/>
        <v>6.0899443690044892</v>
      </c>
      <c r="AB301">
        <f t="shared" si="84"/>
        <v>11.820111261991022</v>
      </c>
    </row>
    <row r="302" spans="10:28" x14ac:dyDescent="0.3">
      <c r="J302">
        <v>297</v>
      </c>
      <c r="K302">
        <f t="shared" si="68"/>
        <v>-0.39794863130761032</v>
      </c>
      <c r="L302">
        <f t="shared" si="69"/>
        <v>302.58726899383981</v>
      </c>
      <c r="M302">
        <f t="shared" si="70"/>
        <v>5.2811441185602543</v>
      </c>
      <c r="N302">
        <f t="shared" si="71"/>
        <v>0.53858358049202315</v>
      </c>
      <c r="O302">
        <f t="shared" si="72"/>
        <v>-0.2143285987015528</v>
      </c>
      <c r="P302">
        <f t="shared" si="73"/>
        <v>-0.21600440316342931</v>
      </c>
      <c r="Q302">
        <f t="shared" si="74"/>
        <v>-12.376140657506786</v>
      </c>
      <c r="R302">
        <f t="shared" si="75"/>
        <v>-0.21942774520964567</v>
      </c>
      <c r="S302">
        <f t="shared" si="76"/>
        <v>-3.6320561512406251E-2</v>
      </c>
      <c r="T302">
        <f t="shared" si="77"/>
        <v>1.6071248786305516</v>
      </c>
      <c r="U302">
        <f t="shared" si="78"/>
        <v>92.081472696005278</v>
      </c>
      <c r="V302">
        <f t="shared" si="79"/>
        <v>6.1387648464003517</v>
      </c>
      <c r="X302">
        <f t="shared" si="80"/>
        <v>-2.4231102488378665E-2</v>
      </c>
      <c r="Y302">
        <f t="shared" si="81"/>
        <v>1.5950298011104771</v>
      </c>
      <c r="Z302">
        <f t="shared" si="82"/>
        <v>91.388475801221432</v>
      </c>
      <c r="AA302">
        <f t="shared" si="83"/>
        <v>6.092565053414762</v>
      </c>
      <c r="AB302">
        <f t="shared" si="84"/>
        <v>11.814869893170476</v>
      </c>
    </row>
    <row r="303" spans="10:28" x14ac:dyDescent="0.3">
      <c r="J303">
        <v>298</v>
      </c>
      <c r="K303">
        <f t="shared" si="68"/>
        <v>-0.39794863130761032</v>
      </c>
      <c r="L303">
        <f t="shared" si="69"/>
        <v>303.57289527720741</v>
      </c>
      <c r="M303">
        <f t="shared" si="70"/>
        <v>5.298346542399214</v>
      </c>
      <c r="N303">
        <f t="shared" si="71"/>
        <v>0.55299746007002792</v>
      </c>
      <c r="O303">
        <f t="shared" si="72"/>
        <v>-0.22006458235145251</v>
      </c>
      <c r="P303">
        <f t="shared" si="73"/>
        <v>-0.2218806753580167</v>
      </c>
      <c r="Q303">
        <f t="shared" si="74"/>
        <v>-12.712826253526723</v>
      </c>
      <c r="R303">
        <f t="shared" si="75"/>
        <v>-0.22559497442114038</v>
      </c>
      <c r="S303">
        <f t="shared" si="76"/>
        <v>-3.7341386056372605E-2</v>
      </c>
      <c r="T303">
        <f t="shared" si="77"/>
        <v>1.6081463963091134</v>
      </c>
      <c r="U303">
        <f t="shared" si="78"/>
        <v>92.140001347684873</v>
      </c>
      <c r="V303">
        <f t="shared" si="79"/>
        <v>6.142666756512325</v>
      </c>
      <c r="X303">
        <f t="shared" si="80"/>
        <v>-2.4912141082428264E-2</v>
      </c>
      <c r="Y303">
        <f t="shared" si="81"/>
        <v>1.5957110454043646</v>
      </c>
      <c r="Z303">
        <f t="shared" si="82"/>
        <v>91.427508224078565</v>
      </c>
      <c r="AA303">
        <f t="shared" si="83"/>
        <v>6.0951672149385709</v>
      </c>
      <c r="AB303">
        <f t="shared" si="84"/>
        <v>11.809665570122858</v>
      </c>
    </row>
    <row r="304" spans="10:28" x14ac:dyDescent="0.3">
      <c r="J304">
        <v>299</v>
      </c>
      <c r="K304">
        <f t="shared" si="68"/>
        <v>-0.39794863130761032</v>
      </c>
      <c r="L304">
        <f t="shared" si="69"/>
        <v>304.55852156057495</v>
      </c>
      <c r="M304">
        <f t="shared" si="70"/>
        <v>5.3155489662381719</v>
      </c>
      <c r="N304">
        <f t="shared" si="71"/>
        <v>0.56724769880272286</v>
      </c>
      <c r="O304">
        <f t="shared" si="72"/>
        <v>-0.22573544535093515</v>
      </c>
      <c r="P304">
        <f t="shared" si="73"/>
        <v>-0.2276979013814161</v>
      </c>
      <c r="Q304">
        <f t="shared" si="74"/>
        <v>-13.046128753141179</v>
      </c>
      <c r="R304">
        <f t="shared" si="75"/>
        <v>-0.23171635943594671</v>
      </c>
      <c r="S304">
        <f t="shared" si="76"/>
        <v>-3.8354622284812977E-2</v>
      </c>
      <c r="T304">
        <f t="shared" si="77"/>
        <v>1.6091603590777539</v>
      </c>
      <c r="U304">
        <f t="shared" si="78"/>
        <v>92.198097134911364</v>
      </c>
      <c r="V304">
        <f t="shared" si="79"/>
        <v>6.146539808994091</v>
      </c>
      <c r="X304">
        <f t="shared" si="80"/>
        <v>-2.5588117165228925E-2</v>
      </c>
      <c r="Y304">
        <f t="shared" si="81"/>
        <v>1.5963872370938743</v>
      </c>
      <c r="Z304">
        <f t="shared" si="82"/>
        <v>91.466251154029294</v>
      </c>
      <c r="AA304">
        <f t="shared" si="83"/>
        <v>6.0977500769352861</v>
      </c>
      <c r="AB304">
        <f t="shared" si="84"/>
        <v>11.804499846129428</v>
      </c>
    </row>
    <row r="305" spans="10:28" x14ac:dyDescent="0.3">
      <c r="J305">
        <v>300</v>
      </c>
      <c r="K305">
        <f t="shared" si="68"/>
        <v>-0.39794863130761032</v>
      </c>
      <c r="L305">
        <f t="shared" si="69"/>
        <v>305.54414784394248</v>
      </c>
      <c r="M305">
        <f t="shared" si="70"/>
        <v>5.3327513900771297</v>
      </c>
      <c r="N305">
        <f t="shared" si="71"/>
        <v>0.58133007981520424</v>
      </c>
      <c r="O305">
        <f t="shared" si="72"/>
        <v>-0.23133950960040439</v>
      </c>
      <c r="P305">
        <f t="shared" si="73"/>
        <v>-0.23345431753532239</v>
      </c>
      <c r="Q305">
        <f t="shared" si="74"/>
        <v>-13.375947103880939</v>
      </c>
      <c r="R305">
        <f t="shared" si="75"/>
        <v>-0.23779002027270596</v>
      </c>
      <c r="S305">
        <f t="shared" si="76"/>
        <v>-3.9359959015663679E-2</v>
      </c>
      <c r="T305">
        <f t="shared" si="77"/>
        <v>1.6101664556852417</v>
      </c>
      <c r="U305">
        <f t="shared" si="78"/>
        <v>92.25574222430285</v>
      </c>
      <c r="V305">
        <f t="shared" si="79"/>
        <v>6.1503828149535229</v>
      </c>
      <c r="X305">
        <f t="shared" si="80"/>
        <v>-2.6258823133038758E-2</v>
      </c>
      <c r="Y305">
        <f t="shared" si="81"/>
        <v>1.5970581685539729</v>
      </c>
      <c r="Z305">
        <f t="shared" si="82"/>
        <v>91.504692695035502</v>
      </c>
      <c r="AA305">
        <f t="shared" si="83"/>
        <v>6.1003128463356999</v>
      </c>
      <c r="AB305">
        <f t="shared" si="84"/>
        <v>11.7993743073286</v>
      </c>
    </row>
    <row r="306" spans="10:28" x14ac:dyDescent="0.3">
      <c r="J306">
        <v>301</v>
      </c>
      <c r="K306">
        <f t="shared" si="68"/>
        <v>-0.39794863130761032</v>
      </c>
      <c r="L306">
        <f t="shared" si="69"/>
        <v>306.52977412731008</v>
      </c>
      <c r="M306">
        <f t="shared" si="70"/>
        <v>5.3499538139160885</v>
      </c>
      <c r="N306">
        <f t="shared" si="71"/>
        <v>0.59524043590436737</v>
      </c>
      <c r="O306">
        <f t="shared" si="72"/>
        <v>-0.23687511676708833</v>
      </c>
      <c r="P306">
        <f t="shared" si="73"/>
        <v>-0.2391481610525783</v>
      </c>
      <c r="Q306">
        <f t="shared" si="74"/>
        <v>-13.702180306627628</v>
      </c>
      <c r="R306">
        <f t="shared" si="75"/>
        <v>-0.24381403826484443</v>
      </c>
      <c r="S306">
        <f t="shared" si="76"/>
        <v>-4.0357078663528931E-2</v>
      </c>
      <c r="T306">
        <f t="shared" si="77"/>
        <v>1.6111643683824777</v>
      </c>
      <c r="U306">
        <f t="shared" si="78"/>
        <v>92.312918410176991</v>
      </c>
      <c r="V306">
        <f t="shared" si="79"/>
        <v>6.1541945606784658</v>
      </c>
      <c r="X306">
        <f t="shared" si="80"/>
        <v>-2.6924047110161081E-2</v>
      </c>
      <c r="Y306">
        <f t="shared" si="81"/>
        <v>1.5977236278596101</v>
      </c>
      <c r="Z306">
        <f t="shared" si="82"/>
        <v>91.542820704686207</v>
      </c>
      <c r="AA306">
        <f t="shared" si="83"/>
        <v>6.1028547136457467</v>
      </c>
      <c r="AB306">
        <f t="shared" si="84"/>
        <v>11.794290572708507</v>
      </c>
    </row>
    <row r="307" spans="10:28" x14ac:dyDescent="0.3">
      <c r="J307">
        <v>302</v>
      </c>
      <c r="K307">
        <f t="shared" si="68"/>
        <v>-0.39794863130761032</v>
      </c>
      <c r="L307">
        <f t="shared" si="69"/>
        <v>307.51540041067761</v>
      </c>
      <c r="M307">
        <f t="shared" si="70"/>
        <v>5.3671562377550472</v>
      </c>
      <c r="N307">
        <f t="shared" si="71"/>
        <v>0.6089746507720486</v>
      </c>
      <c r="O307">
        <f t="shared" si="72"/>
        <v>-0.24234062877576673</v>
      </c>
      <c r="P307">
        <f t="shared" si="73"/>
        <v>-0.24477767063053005</v>
      </c>
      <c r="Q307">
        <f t="shared" si="74"/>
        <v>-14.024727446172735</v>
      </c>
      <c r="R307">
        <f t="shared" si="75"/>
        <v>-0.2497864561999448</v>
      </c>
      <c r="S307">
        <f t="shared" si="76"/>
        <v>-4.13456572627501E-2</v>
      </c>
      <c r="T307">
        <f t="shared" si="77"/>
        <v>1.6121537729430648</v>
      </c>
      <c r="U307">
        <f t="shared" si="78"/>
        <v>92.369607115729622</v>
      </c>
      <c r="V307">
        <f t="shared" si="79"/>
        <v>6.1579738077153081</v>
      </c>
      <c r="X307">
        <f t="shared" si="80"/>
        <v>-2.7583572964334998E-2</v>
      </c>
      <c r="Y307">
        <f t="shared" si="81"/>
        <v>1.5983833988003737</v>
      </c>
      <c r="Z307">
        <f t="shared" si="82"/>
        <v>91.580622795037357</v>
      </c>
      <c r="AA307">
        <f t="shared" si="83"/>
        <v>6.1053748530024903</v>
      </c>
      <c r="AB307">
        <f t="shared" si="84"/>
        <v>11.789250293995019</v>
      </c>
    </row>
    <row r="308" spans="10:28" x14ac:dyDescent="0.3">
      <c r="J308">
        <v>303</v>
      </c>
      <c r="K308">
        <f t="shared" si="68"/>
        <v>-0.39794863130761032</v>
      </c>
      <c r="L308">
        <f t="shared" si="69"/>
        <v>308.50102669404515</v>
      </c>
      <c r="M308">
        <f t="shared" si="70"/>
        <v>5.3843586615940051</v>
      </c>
      <c r="N308">
        <f t="shared" si="71"/>
        <v>0.62252866024310571</v>
      </c>
      <c r="O308">
        <f t="shared" si="72"/>
        <v>-0.24773442829350428</v>
      </c>
      <c r="P308">
        <f t="shared" si="73"/>
        <v>-0.25034108700592039</v>
      </c>
      <c r="Q308">
        <f t="shared" si="74"/>
        <v>-14.343487724156574</v>
      </c>
      <c r="R308">
        <f t="shared" si="75"/>
        <v>-0.25570527858835385</v>
      </c>
      <c r="S308">
        <f t="shared" si="76"/>
        <v>-4.2325364511866782E-2</v>
      </c>
      <c r="T308">
        <f t="shared" si="77"/>
        <v>1.6131343387054171</v>
      </c>
      <c r="U308">
        <f t="shared" si="78"/>
        <v>92.425789395447438</v>
      </c>
      <c r="V308">
        <f t="shared" si="79"/>
        <v>6.1617192930298295</v>
      </c>
      <c r="X308">
        <f t="shared" si="80"/>
        <v>-2.8237180336397376E-2</v>
      </c>
      <c r="Y308">
        <f t="shared" si="81"/>
        <v>1.5990372609094594</v>
      </c>
      <c r="Z308">
        <f t="shared" si="82"/>
        <v>91.618086334271482</v>
      </c>
      <c r="AA308">
        <f t="shared" si="83"/>
        <v>6.1078724222847658</v>
      </c>
      <c r="AB308">
        <f t="shared" si="84"/>
        <v>11.784255155430468</v>
      </c>
    </row>
    <row r="309" spans="10:28" x14ac:dyDescent="0.3">
      <c r="J309">
        <v>304</v>
      </c>
      <c r="K309">
        <f t="shared" si="68"/>
        <v>-0.39794863130761032</v>
      </c>
      <c r="L309">
        <f t="shared" si="69"/>
        <v>309.48665297741275</v>
      </c>
      <c r="M309">
        <f t="shared" si="70"/>
        <v>5.4015610854329639</v>
      </c>
      <c r="N309">
        <f t="shared" si="71"/>
        <v>0.6358984534680745</v>
      </c>
      <c r="O309">
        <f t="shared" si="72"/>
        <v>-0.25305491920824635</v>
      </c>
      <c r="P309">
        <f t="shared" si="73"/>
        <v>-0.25583665357201507</v>
      </c>
      <c r="Q309">
        <f t="shared" si="74"/>
        <v>-14.658360494427001</v>
      </c>
      <c r="R309">
        <f t="shared" si="75"/>
        <v>-0.26156847206669731</v>
      </c>
      <c r="S309">
        <f t="shared" si="76"/>
        <v>-4.3295863840408171E-2</v>
      </c>
      <c r="T309">
        <f t="shared" si="77"/>
        <v>1.6141057286373688</v>
      </c>
      <c r="U309">
        <f t="shared" si="78"/>
        <v>92.48144593880977</v>
      </c>
      <c r="V309">
        <f t="shared" si="79"/>
        <v>6.1654297292539848</v>
      </c>
      <c r="X309">
        <f t="shared" si="80"/>
        <v>-2.8884644684842444E-2</v>
      </c>
      <c r="Y309">
        <f t="shared" si="81"/>
        <v>1.599684989507588</v>
      </c>
      <c r="Z309">
        <f t="shared" si="82"/>
        <v>91.655198449214168</v>
      </c>
      <c r="AA309">
        <f t="shared" si="83"/>
        <v>6.1103465632809444</v>
      </c>
      <c r="AB309">
        <f t="shared" si="84"/>
        <v>11.779306873438111</v>
      </c>
    </row>
    <row r="310" spans="10:28" x14ac:dyDescent="0.3">
      <c r="J310">
        <v>305</v>
      </c>
      <c r="K310">
        <f t="shared" si="68"/>
        <v>-0.39794863130761032</v>
      </c>
      <c r="L310">
        <f t="shared" si="69"/>
        <v>310.47227926078028</v>
      </c>
      <c r="M310">
        <f t="shared" si="70"/>
        <v>5.4187635092719217</v>
      </c>
      <c r="N310">
        <f t="shared" si="71"/>
        <v>0.64908007411003898</v>
      </c>
      <c r="O310">
        <f t="shared" si="72"/>
        <v>-0.25830052710113227</v>
      </c>
      <c r="P310">
        <f t="shared" si="73"/>
        <v>-0.26126261703856357</v>
      </c>
      <c r="Q310">
        <f t="shared" si="74"/>
        <v>-14.969245300852403</v>
      </c>
      <c r="R310">
        <f t="shared" si="75"/>
        <v>-0.26737396594186708</v>
      </c>
      <c r="S310">
        <f t="shared" si="76"/>
        <v>-4.4256812498936031E-2</v>
      </c>
      <c r="T310">
        <f t="shared" si="77"/>
        <v>1.6150675994242265</v>
      </c>
      <c r="U310">
        <f t="shared" si="78"/>
        <v>92.536557075333647</v>
      </c>
      <c r="V310">
        <f t="shared" si="79"/>
        <v>6.1691038050222433</v>
      </c>
      <c r="X310">
        <f t="shared" si="80"/>
        <v>-2.9525737345893539E-2</v>
      </c>
      <c r="Y310">
        <f t="shared" si="81"/>
        <v>1.6003263557624927</v>
      </c>
      <c r="Z310">
        <f t="shared" si="82"/>
        <v>91.691946028742322</v>
      </c>
      <c r="AA310">
        <f t="shared" si="83"/>
        <v>6.1127964019161549</v>
      </c>
      <c r="AB310">
        <f t="shared" si="84"/>
        <v>11.77440719616769</v>
      </c>
    </row>
    <row r="311" spans="10:28" x14ac:dyDescent="0.3">
      <c r="J311">
        <v>306</v>
      </c>
      <c r="K311">
        <f t="shared" si="68"/>
        <v>-0.39794863130761032</v>
      </c>
      <c r="L311">
        <f t="shared" si="69"/>
        <v>311.45790554414782</v>
      </c>
      <c r="M311">
        <f t="shared" si="70"/>
        <v>5.4359659331108805</v>
      </c>
      <c r="N311">
        <f t="shared" si="71"/>
        <v>0.66206962151538085</v>
      </c>
      <c r="O311">
        <f t="shared" si="72"/>
        <v>-0.26346969971239342</v>
      </c>
      <c r="P311">
        <f t="shared" si="73"/>
        <v>-0.26661722813510891</v>
      </c>
      <c r="Q311">
        <f t="shared" si="74"/>
        <v>-15.276041917618368</v>
      </c>
      <c r="R311">
        <f t="shared" si="75"/>
        <v>-0.27311965288091639</v>
      </c>
      <c r="S311">
        <f t="shared" si="76"/>
        <v>-4.5207861673238883E-2</v>
      </c>
      <c r="T311">
        <f t="shared" si="77"/>
        <v>1.6160196015811867</v>
      </c>
      <c r="U311">
        <f t="shared" si="78"/>
        <v>92.591102781014811</v>
      </c>
      <c r="V311">
        <f t="shared" si="79"/>
        <v>6.1727401854009871</v>
      </c>
      <c r="X311">
        <f t="shared" si="80"/>
        <v>-3.0160225609687275E-2</v>
      </c>
      <c r="Y311">
        <f t="shared" si="81"/>
        <v>1.6009611267645827</v>
      </c>
      <c r="Z311">
        <f t="shared" si="82"/>
        <v>91.72831572811937</v>
      </c>
      <c r="AA311">
        <f t="shared" si="83"/>
        <v>6.115221048541291</v>
      </c>
      <c r="AB311">
        <f t="shared" si="84"/>
        <v>11.769557902917418</v>
      </c>
    </row>
    <row r="312" spans="10:28" x14ac:dyDescent="0.3">
      <c r="J312">
        <v>307</v>
      </c>
      <c r="K312">
        <f t="shared" si="68"/>
        <v>-0.39794863130761032</v>
      </c>
      <c r="L312">
        <f t="shared" si="69"/>
        <v>312.44353182751541</v>
      </c>
      <c r="M312">
        <f t="shared" si="70"/>
        <v>5.4531683569498401</v>
      </c>
      <c r="N312">
        <f t="shared" si="71"/>
        <v>0.67486325186804097</v>
      </c>
      <c r="O312">
        <f t="shared" si="72"/>
        <v>-0.26856090740069</v>
      </c>
      <c r="P312">
        <f t="shared" si="73"/>
        <v>-0.27189874235803652</v>
      </c>
      <c r="Q312">
        <f t="shared" si="74"/>
        <v>-15.578650392030438</v>
      </c>
      <c r="R312">
        <f t="shared" si="75"/>
        <v>-0.2788033897520919</v>
      </c>
      <c r="S312">
        <f t="shared" si="76"/>
        <v>-4.614865662354304E-2</v>
      </c>
      <c r="T312">
        <f t="shared" si="77"/>
        <v>1.6169613795910061</v>
      </c>
      <c r="U312">
        <f t="shared" si="78"/>
        <v>92.645062686215695</v>
      </c>
      <c r="V312">
        <f t="shared" si="79"/>
        <v>6.1763375124143796</v>
      </c>
      <c r="X312">
        <f t="shared" si="80"/>
        <v>-3.0787872813147564E-2</v>
      </c>
      <c r="Y312">
        <f t="shared" si="81"/>
        <v>1.601589065619367</v>
      </c>
      <c r="Z312">
        <f t="shared" si="82"/>
        <v>91.76429397429078</v>
      </c>
      <c r="AA312">
        <f t="shared" si="83"/>
        <v>6.1176195982860522</v>
      </c>
      <c r="AB312">
        <f t="shared" si="84"/>
        <v>11.764760803427896</v>
      </c>
    </row>
    <row r="313" spans="10:28" x14ac:dyDescent="0.3">
      <c r="J313">
        <v>308</v>
      </c>
      <c r="K313">
        <f t="shared" si="68"/>
        <v>-0.39794863130761032</v>
      </c>
      <c r="L313">
        <f t="shared" si="69"/>
        <v>313.42915811088295</v>
      </c>
      <c r="M313">
        <f t="shared" si="70"/>
        <v>5.470370780788798</v>
      </c>
      <c r="N313">
        <f t="shared" si="71"/>
        <v>0.68745717932696637</v>
      </c>
      <c r="O313">
        <f t="shared" si="72"/>
        <v>-0.27357264359575667</v>
      </c>
      <c r="P313">
        <f t="shared" si="73"/>
        <v>-0.27710542076165356</v>
      </c>
      <c r="Q313">
        <f t="shared" si="74"/>
        <v>-15.876971089839607</v>
      </c>
      <c r="R313">
        <f t="shared" si="75"/>
        <v>-0.28442299862201259</v>
      </c>
      <c r="S313">
        <f t="shared" si="76"/>
        <v>-4.707883684956965E-2</v>
      </c>
      <c r="T313">
        <f t="shared" si="77"/>
        <v>1.6178925720677808</v>
      </c>
      <c r="U313">
        <f t="shared" si="78"/>
        <v>92.698416085049232</v>
      </c>
      <c r="V313">
        <f t="shared" si="79"/>
        <v>6.1798944056699492</v>
      </c>
      <c r="X313">
        <f t="shared" si="80"/>
        <v>-3.1408438450102688E-2</v>
      </c>
      <c r="Y313">
        <f t="shared" si="81"/>
        <v>1.6022099315571985</v>
      </c>
      <c r="Z313">
        <f t="shared" si="82"/>
        <v>91.799866972171955</v>
      </c>
      <c r="AA313">
        <f t="shared" si="83"/>
        <v>6.1199911314781303</v>
      </c>
      <c r="AB313">
        <f t="shared" si="84"/>
        <v>11.760017737043739</v>
      </c>
    </row>
    <row r="314" spans="10:28" x14ac:dyDescent="0.3">
      <c r="J314">
        <v>309</v>
      </c>
      <c r="K314">
        <f t="shared" si="68"/>
        <v>-0.39794863130761032</v>
      </c>
      <c r="L314">
        <f t="shared" si="69"/>
        <v>314.41478439425049</v>
      </c>
      <c r="M314">
        <f t="shared" si="70"/>
        <v>5.4875732046277559</v>
      </c>
      <c r="N314">
        <f t="shared" si="71"/>
        <v>0.69984767714640639</v>
      </c>
      <c r="O314">
        <f t="shared" si="72"/>
        <v>-0.27850342524422278</v>
      </c>
      <c r="P314">
        <f t="shared" si="73"/>
        <v>-0.28223553079345398</v>
      </c>
      <c r="Q314">
        <f t="shared" si="74"/>
        <v>-16.170904743099495</v>
      </c>
      <c r="R314">
        <f t="shared" si="75"/>
        <v>-0.28997626791370695</v>
      </c>
      <c r="S314">
        <f t="shared" si="76"/>
        <v>-4.7998036282217674E-2</v>
      </c>
      <c r="T314">
        <f t="shared" si="77"/>
        <v>1.6188128119476348</v>
      </c>
      <c r="U314">
        <f t="shared" si="78"/>
        <v>92.751141946304486</v>
      </c>
      <c r="V314">
        <f t="shared" si="79"/>
        <v>6.1834094630869654</v>
      </c>
      <c r="X314">
        <f t="shared" si="80"/>
        <v>-3.2021678299165753E-2</v>
      </c>
      <c r="Y314">
        <f t="shared" si="81"/>
        <v>1.6028234800608663</v>
      </c>
      <c r="Z314">
        <f t="shared" si="82"/>
        <v>91.835020711958705</v>
      </c>
      <c r="AA314">
        <f t="shared" si="83"/>
        <v>6.1223347141305799</v>
      </c>
      <c r="AB314">
        <f t="shared" si="84"/>
        <v>11.75533057173884</v>
      </c>
    </row>
    <row r="315" spans="10:28" x14ac:dyDescent="0.3">
      <c r="J315">
        <v>310</v>
      </c>
      <c r="K315">
        <f t="shared" si="68"/>
        <v>-0.39794863130761032</v>
      </c>
      <c r="L315">
        <f t="shared" si="69"/>
        <v>315.40041067761808</v>
      </c>
      <c r="M315">
        <f t="shared" si="70"/>
        <v>5.5047756284667146</v>
      </c>
      <c r="N315">
        <f t="shared" si="71"/>
        <v>0.71203107877871308</v>
      </c>
      <c r="O315">
        <f t="shared" si="72"/>
        <v>-0.28335179324847015</v>
      </c>
      <c r="P315">
        <f t="shared" si="73"/>
        <v>-0.28728734717359056</v>
      </c>
      <c r="Q315">
        <f t="shared" si="74"/>
        <v>-16.460352500556379</v>
      </c>
      <c r="R315">
        <f t="shared" si="75"/>
        <v>-0.29546095372987846</v>
      </c>
      <c r="S315">
        <f t="shared" si="76"/>
        <v>-4.8905883502596087E-2</v>
      </c>
      <c r="T315">
        <f t="shared" si="77"/>
        <v>1.6197217267070687</v>
      </c>
      <c r="U315">
        <f t="shared" si="78"/>
        <v>92.803218925957182</v>
      </c>
      <c r="V315">
        <f t="shared" si="79"/>
        <v>6.1868812617304787</v>
      </c>
      <c r="X315">
        <f t="shared" si="80"/>
        <v>-3.2627344569861071E-2</v>
      </c>
      <c r="Y315">
        <f t="shared" si="81"/>
        <v>1.6034294630115262</v>
      </c>
      <c r="Z315">
        <f t="shared" si="82"/>
        <v>91.869740977488391</v>
      </c>
      <c r="AA315">
        <f t="shared" si="83"/>
        <v>6.1246493984992263</v>
      </c>
      <c r="AB315">
        <f t="shared" si="84"/>
        <v>11.750701203001547</v>
      </c>
    </row>
    <row r="316" spans="10:28" x14ac:dyDescent="0.3">
      <c r="J316">
        <v>311</v>
      </c>
      <c r="K316">
        <f t="shared" si="68"/>
        <v>-0.39794863130761032</v>
      </c>
      <c r="L316">
        <f t="shared" si="69"/>
        <v>316.38603696098562</v>
      </c>
      <c r="M316">
        <f t="shared" si="70"/>
        <v>5.5219780523056734</v>
      </c>
      <c r="N316">
        <f t="shared" si="71"/>
        <v>0.72400377895933055</v>
      </c>
      <c r="O316">
        <f t="shared" si="72"/>
        <v>-0.28811631289840323</v>
      </c>
      <c r="P316">
        <f t="shared" si="73"/>
        <v>-0.29225915281843889</v>
      </c>
      <c r="Q316">
        <f t="shared" si="74"/>
        <v>-16.745215980565508</v>
      </c>
      <c r="R316">
        <f t="shared" si="75"/>
        <v>-0.30087478134537782</v>
      </c>
      <c r="S316">
        <f t="shared" si="76"/>
        <v>-4.9802001989063878E-2</v>
      </c>
      <c r="T316">
        <f t="shared" si="77"/>
        <v>1.6206189386096488</v>
      </c>
      <c r="U316">
        <f t="shared" si="78"/>
        <v>92.854625381303933</v>
      </c>
      <c r="V316">
        <f t="shared" si="79"/>
        <v>6.1903083587535956</v>
      </c>
      <c r="X316">
        <f t="shared" si="80"/>
        <v>-3.3225186067435797E-2</v>
      </c>
      <c r="Y316">
        <f t="shared" si="81"/>
        <v>1.6040276288534161</v>
      </c>
      <c r="Z316">
        <f t="shared" si="82"/>
        <v>91.904013355677577</v>
      </c>
      <c r="AA316">
        <f t="shared" si="83"/>
        <v>6.1269342237118387</v>
      </c>
      <c r="AB316">
        <f t="shared" si="84"/>
        <v>11.746131552576323</v>
      </c>
    </row>
    <row r="317" spans="10:28" x14ac:dyDescent="0.3">
      <c r="J317">
        <v>312</v>
      </c>
      <c r="K317">
        <f t="shared" si="68"/>
        <v>-0.39794863130761032</v>
      </c>
      <c r="L317">
        <f t="shared" si="69"/>
        <v>317.37166324435316</v>
      </c>
      <c r="M317">
        <f t="shared" si="70"/>
        <v>5.5391804761446313</v>
      </c>
      <c r="N317">
        <f t="shared" si="71"/>
        <v>0.73576223477365266</v>
      </c>
      <c r="O317">
        <f t="shared" si="72"/>
        <v>-0.29279557429600372</v>
      </c>
      <c r="P317">
        <f t="shared" si="73"/>
        <v>-0.29714923980798158</v>
      </c>
      <c r="Q317">
        <f t="shared" si="74"/>
        <v>-17.025397326518139</v>
      </c>
      <c r="R317">
        <f t="shared" si="75"/>
        <v>-0.30621544687240326</v>
      </c>
      <c r="S317">
        <f t="shared" si="76"/>
        <v>-5.0686010392860706E-2</v>
      </c>
      <c r="T317">
        <f t="shared" si="77"/>
        <v>1.6215040649816466</v>
      </c>
      <c r="U317">
        <f t="shared" si="78"/>
        <v>92.905339386755131</v>
      </c>
      <c r="V317">
        <f t="shared" si="79"/>
        <v>6.1936892924503422</v>
      </c>
      <c r="X317">
        <f t="shared" si="80"/>
        <v>-3.3814948376745695E-2</v>
      </c>
      <c r="Y317">
        <f t="shared" si="81"/>
        <v>1.6046177227777496</v>
      </c>
      <c r="Z317">
        <f t="shared" si="82"/>
        <v>91.937823247058205</v>
      </c>
      <c r="AA317">
        <f t="shared" si="83"/>
        <v>6.1291882164705473</v>
      </c>
      <c r="AB317">
        <f t="shared" si="84"/>
        <v>11.741623567058905</v>
      </c>
    </row>
    <row r="318" spans="10:28" x14ac:dyDescent="0.3">
      <c r="J318">
        <v>313</v>
      </c>
      <c r="K318">
        <f t="shared" si="68"/>
        <v>-0.39794863130761032</v>
      </c>
      <c r="L318">
        <f t="shared" si="69"/>
        <v>318.35728952772075</v>
      </c>
      <c r="M318">
        <f t="shared" si="70"/>
        <v>5.55638289998359</v>
      </c>
      <c r="N318">
        <f t="shared" si="71"/>
        <v>0.74730296670542973</v>
      </c>
      <c r="O318">
        <f t="shared" si="72"/>
        <v>-0.29738819277254247</v>
      </c>
      <c r="P318">
        <f t="shared" si="73"/>
        <v>-0.30195591039657976</v>
      </c>
      <c r="Q318">
        <f t="shared" si="74"/>
        <v>-17.300799264754477</v>
      </c>
      <c r="R318">
        <f t="shared" si="75"/>
        <v>-0.3114806191014326</v>
      </c>
      <c r="S318">
        <f t="shared" si="76"/>
        <v>-5.1557522842825332E-2</v>
      </c>
      <c r="T318">
        <f t="shared" si="77"/>
        <v>1.6223767185171456</v>
      </c>
      <c r="U318">
        <f t="shared" si="78"/>
        <v>92.955338751316404</v>
      </c>
      <c r="V318">
        <f t="shared" si="79"/>
        <v>6.1970225834210932</v>
      </c>
      <c r="X318">
        <f t="shared" si="80"/>
        <v>-3.4396374065546721E-2</v>
      </c>
      <c r="Y318">
        <f t="shared" si="81"/>
        <v>1.6051994869261306</v>
      </c>
      <c r="Z318">
        <f t="shared" si="82"/>
        <v>91.971155877432452</v>
      </c>
      <c r="AA318">
        <f t="shared" si="83"/>
        <v>6.1314103918288305</v>
      </c>
      <c r="AB318">
        <f t="shared" si="84"/>
        <v>11.737179216342339</v>
      </c>
    </row>
    <row r="319" spans="10:28" x14ac:dyDescent="0.3">
      <c r="J319">
        <v>314</v>
      </c>
      <c r="K319">
        <f t="shared" si="68"/>
        <v>-0.39794863130761032</v>
      </c>
      <c r="L319">
        <f t="shared" si="69"/>
        <v>319.34291581108829</v>
      </c>
      <c r="M319">
        <f t="shared" si="70"/>
        <v>5.5735853238225488</v>
      </c>
      <c r="N319">
        <f t="shared" si="71"/>
        <v>0.75862255966641001</v>
      </c>
      <c r="O319">
        <f t="shared" si="72"/>
        <v>-0.30189280929832379</v>
      </c>
      <c r="P319">
        <f t="shared" si="73"/>
        <v>-0.30667747806653045</v>
      </c>
      <c r="Q319">
        <f t="shared" si="74"/>
        <v>-17.571325164928069</v>
      </c>
      <c r="R319">
        <f t="shared" si="75"/>
        <v>-0.31666794152031824</v>
      </c>
      <c r="S319">
        <f t="shared" si="76"/>
        <v>-5.241614927960439E-2</v>
      </c>
      <c r="T319">
        <f t="shared" si="77"/>
        <v>1.6232365076130451</v>
      </c>
      <c r="U319">
        <f t="shared" si="78"/>
        <v>93.004601037782805</v>
      </c>
      <c r="V319">
        <f t="shared" si="79"/>
        <v>6.2003067358521866</v>
      </c>
      <c r="X319">
        <f t="shared" si="80"/>
        <v>-3.496920290746091E-2</v>
      </c>
      <c r="Y319">
        <f t="shared" si="81"/>
        <v>1.6057726606137623</v>
      </c>
      <c r="Z319">
        <f t="shared" si="82"/>
        <v>92.003996310661691</v>
      </c>
      <c r="AA319">
        <f t="shared" si="83"/>
        <v>6.1335997540441127</v>
      </c>
      <c r="AB319">
        <f t="shared" si="84"/>
        <v>11.732800491911775</v>
      </c>
    </row>
    <row r="320" spans="10:28" x14ac:dyDescent="0.3">
      <c r="J320">
        <v>315</v>
      </c>
      <c r="K320">
        <f t="shared" si="68"/>
        <v>-0.39794863130761032</v>
      </c>
      <c r="L320">
        <f t="shared" si="69"/>
        <v>320.32854209445583</v>
      </c>
      <c r="M320">
        <f t="shared" si="70"/>
        <v>5.5907877476615067</v>
      </c>
      <c r="N320">
        <f t="shared" si="71"/>
        <v>0.76971766400692099</v>
      </c>
      <c r="O320">
        <f t="shared" si="72"/>
        <v>-0.30630809088484529</v>
      </c>
      <c r="P320">
        <f t="shared" si="73"/>
        <v>-0.31131226862363359</v>
      </c>
      <c r="Q320">
        <f t="shared" si="74"/>
        <v>-17.836879102777168</v>
      </c>
      <c r="R320">
        <f t="shared" si="75"/>
        <v>-0.32177503451334366</v>
      </c>
      <c r="S320">
        <f t="shared" si="76"/>
        <v>-5.3261495819648973E-2</v>
      </c>
      <c r="T320">
        <f t="shared" si="77"/>
        <v>1.624083036734278</v>
      </c>
      <c r="U320">
        <f t="shared" si="78"/>
        <v>93.053103583664367</v>
      </c>
      <c r="V320">
        <f t="shared" si="79"/>
        <v>6.203540238910958</v>
      </c>
      <c r="X320">
        <f t="shared" si="80"/>
        <v>-3.5533172124815098E-2</v>
      </c>
      <c r="Y320">
        <f t="shared" si="81"/>
        <v>1.6063369805726535</v>
      </c>
      <c r="Z320">
        <f t="shared" si="82"/>
        <v>92.036329462601159</v>
      </c>
      <c r="AA320">
        <f t="shared" si="83"/>
        <v>6.1357552975067442</v>
      </c>
      <c r="AB320">
        <f t="shared" si="84"/>
        <v>11.728489404986512</v>
      </c>
    </row>
    <row r="321" spans="10:28" x14ac:dyDescent="0.3">
      <c r="J321">
        <v>316</v>
      </c>
      <c r="K321">
        <f t="shared" si="68"/>
        <v>-0.39794863130761032</v>
      </c>
      <c r="L321">
        <f t="shared" si="69"/>
        <v>321.31416837782342</v>
      </c>
      <c r="M321">
        <f t="shared" si="70"/>
        <v>5.6079901715004663</v>
      </c>
      <c r="N321">
        <f t="shared" si="71"/>
        <v>0.78058499650708713</v>
      </c>
      <c r="O321">
        <f t="shared" si="72"/>
        <v>-0.31063273097925109</v>
      </c>
      <c r="P321">
        <f t="shared" si="73"/>
        <v>-0.31585862133380616</v>
      </c>
      <c r="Q321">
        <f t="shared" si="74"/>
        <v>-18.097365925247917</v>
      </c>
      <c r="R321">
        <f t="shared" si="75"/>
        <v>-0.32679949774133976</v>
      </c>
      <c r="S321">
        <f t="shared" si="76"/>
        <v>-5.4093165149181117E-2</v>
      </c>
      <c r="T321">
        <f t="shared" si="77"/>
        <v>1.6249159068094472</v>
      </c>
      <c r="U321">
        <f t="shared" si="78"/>
        <v>93.100823523854316</v>
      </c>
      <c r="V321">
        <f t="shared" si="79"/>
        <v>6.2067215682569543</v>
      </c>
      <c r="X321">
        <f t="shared" si="80"/>
        <v>-3.6088016651473945E-2</v>
      </c>
      <c r="Y321">
        <f t="shared" si="81"/>
        <v>1.6068921812149537</v>
      </c>
      <c r="Z321">
        <f t="shared" si="82"/>
        <v>92.068140116187905</v>
      </c>
      <c r="AA321">
        <f t="shared" si="83"/>
        <v>6.1378760077458603</v>
      </c>
      <c r="AB321">
        <f t="shared" si="84"/>
        <v>11.724247984508279</v>
      </c>
    </row>
    <row r="322" spans="10:28" x14ac:dyDescent="0.3">
      <c r="J322">
        <v>317</v>
      </c>
      <c r="K322">
        <f t="shared" si="68"/>
        <v>-0.39794863130761032</v>
      </c>
      <c r="L322">
        <f t="shared" si="69"/>
        <v>322.29979466119096</v>
      </c>
      <c r="M322">
        <f t="shared" si="70"/>
        <v>5.6251925953394242</v>
      </c>
      <c r="N322">
        <f t="shared" si="71"/>
        <v>0.79122134134838074</v>
      </c>
      <c r="O322">
        <f t="shared" si="72"/>
        <v>-0.31486544985095966</v>
      </c>
      <c r="P322">
        <f t="shared" si="73"/>
        <v>-0.32031489009958225</v>
      </c>
      <c r="Q322">
        <f t="shared" si="74"/>
        <v>-18.35269131790286</v>
      </c>
      <c r="R322">
        <f t="shared" si="75"/>
        <v>-0.33173891270319833</v>
      </c>
      <c r="S322">
        <f t="shared" si="76"/>
        <v>-5.4910756948185743E-2</v>
      </c>
      <c r="T322">
        <f t="shared" si="77"/>
        <v>1.6257347156569535</v>
      </c>
      <c r="U322">
        <f t="shared" si="78"/>
        <v>93.147737815044394</v>
      </c>
      <c r="V322">
        <f t="shared" si="79"/>
        <v>6.2098491876696267</v>
      </c>
      <c r="X322">
        <f t="shared" si="80"/>
        <v>-3.6633469415704258E-2</v>
      </c>
      <c r="Y322">
        <f t="shared" si="81"/>
        <v>1.607437994916457</v>
      </c>
      <c r="Z322">
        <f t="shared" si="82"/>
        <v>92.099412937684463</v>
      </c>
      <c r="AA322">
        <f t="shared" si="83"/>
        <v>6.1399608625122974</v>
      </c>
      <c r="AB322">
        <f t="shared" si="84"/>
        <v>11.720078274975405</v>
      </c>
    </row>
    <row r="323" spans="10:28" x14ac:dyDescent="0.3">
      <c r="J323">
        <v>318</v>
      </c>
      <c r="K323">
        <f t="shared" si="68"/>
        <v>-0.39794863130761032</v>
      </c>
      <c r="L323">
        <f t="shared" si="69"/>
        <v>323.2854209445585</v>
      </c>
      <c r="M323">
        <f t="shared" si="70"/>
        <v>5.642395019178382</v>
      </c>
      <c r="N323">
        <f t="shared" si="71"/>
        <v>0.80162355106524197</v>
      </c>
      <c r="O323">
        <f t="shared" si="72"/>
        <v>-0.31900499497035933</v>
      </c>
      <c r="P323">
        <f t="shared" si="73"/>
        <v>-0.32467944467515797</v>
      </c>
      <c r="Q323">
        <f t="shared" si="74"/>
        <v>-18.602761874537862</v>
      </c>
      <c r="R323">
        <f t="shared" si="75"/>
        <v>-0.33659084547831958</v>
      </c>
      <c r="S323">
        <f t="shared" si="76"/>
        <v>-5.571386834435163E-2</v>
      </c>
      <c r="T323">
        <f t="shared" si="77"/>
        <v>1.6265390584415589</v>
      </c>
      <c r="U323">
        <f t="shared" si="78"/>
        <v>93.193823261884077</v>
      </c>
      <c r="V323">
        <f t="shared" si="79"/>
        <v>6.2129215507922719</v>
      </c>
      <c r="X323">
        <f t="shared" si="80"/>
        <v>-3.7169261643019723E-2</v>
      </c>
      <c r="Y323">
        <f t="shared" si="81"/>
        <v>1.6079741523202304</v>
      </c>
      <c r="Z323">
        <f t="shared" si="82"/>
        <v>92.130132494075369</v>
      </c>
      <c r="AA323">
        <f t="shared" si="83"/>
        <v>6.142008832938358</v>
      </c>
      <c r="AB323">
        <f t="shared" si="84"/>
        <v>11.715982334123284</v>
      </c>
    </row>
    <row r="324" spans="10:28" x14ac:dyDescent="0.3">
      <c r="J324">
        <v>319</v>
      </c>
      <c r="K324">
        <f t="shared" si="68"/>
        <v>-0.39794863130761032</v>
      </c>
      <c r="L324">
        <f t="shared" si="69"/>
        <v>324.27104722792609</v>
      </c>
      <c r="M324">
        <f t="shared" si="70"/>
        <v>5.6595974430173417</v>
      </c>
      <c r="N324">
        <f t="shared" si="71"/>
        <v>0.81178854747646134</v>
      </c>
      <c r="O324">
        <f t="shared" si="72"/>
        <v>-0.32305014137945082</v>
      </c>
      <c r="P324">
        <f t="shared" si="73"/>
        <v>-0.32895067191841254</v>
      </c>
      <c r="Q324">
        <f t="shared" si="74"/>
        <v>-18.847485168917647</v>
      </c>
      <c r="R324">
        <f t="shared" si="75"/>
        <v>-0.34135284964863555</v>
      </c>
      <c r="S324">
        <f t="shared" si="76"/>
        <v>-5.6502094396736431E-2</v>
      </c>
      <c r="T324">
        <f t="shared" si="77"/>
        <v>1.6273285281611736</v>
      </c>
      <c r="U324">
        <f t="shared" si="78"/>
        <v>93.239056544871374</v>
      </c>
      <c r="V324">
        <f t="shared" si="79"/>
        <v>6.2159371029914245</v>
      </c>
      <c r="X324">
        <f t="shared" si="80"/>
        <v>-3.7695123178855899E-2</v>
      </c>
      <c r="Y324">
        <f t="shared" si="81"/>
        <v>1.6085003826602191</v>
      </c>
      <c r="Z324">
        <f t="shared" si="82"/>
        <v>92.160283271608449</v>
      </c>
      <c r="AA324">
        <f t="shared" si="83"/>
        <v>6.1440188847738968</v>
      </c>
      <c r="AB324">
        <f t="shared" si="84"/>
        <v>11.711962230452206</v>
      </c>
    </row>
    <row r="325" spans="10:28" x14ac:dyDescent="0.3">
      <c r="J325">
        <v>320</v>
      </c>
      <c r="K325">
        <f t="shared" si="68"/>
        <v>-0.39794863130761032</v>
      </c>
      <c r="L325">
        <f t="shared" si="69"/>
        <v>325.25667351129363</v>
      </c>
      <c r="M325">
        <f t="shared" si="70"/>
        <v>5.6767998668562996</v>
      </c>
      <c r="N325">
        <f t="shared" si="71"/>
        <v>0.82171332259605945</v>
      </c>
      <c r="O325">
        <f t="shared" si="72"/>
        <v>-0.32699969205433072</v>
      </c>
      <c r="P325">
        <f t="shared" si="73"/>
        <v>-0.33312697707814548</v>
      </c>
      <c r="Q325">
        <f t="shared" si="74"/>
        <v>-19.086769828529054</v>
      </c>
      <c r="R325">
        <f t="shared" si="75"/>
        <v>-0.3460224693979389</v>
      </c>
      <c r="S325">
        <f t="shared" si="76"/>
        <v>-5.7275028608780025E-2</v>
      </c>
      <c r="T325">
        <f t="shared" si="77"/>
        <v>1.6281027161635067</v>
      </c>
      <c r="U325">
        <f t="shared" si="78"/>
        <v>93.283414249954731</v>
      </c>
      <c r="V325">
        <f t="shared" si="79"/>
        <v>6.2188942833303154</v>
      </c>
      <c r="X325">
        <f t="shared" si="80"/>
        <v>-3.8210782830824797E-2</v>
      </c>
      <c r="Y325">
        <f t="shared" si="81"/>
        <v>1.6090164141045855</v>
      </c>
      <c r="Z325">
        <f t="shared" si="82"/>
        <v>92.189849695466705</v>
      </c>
      <c r="AA325">
        <f t="shared" si="83"/>
        <v>6.1459899796977799</v>
      </c>
      <c r="AB325">
        <f t="shared" si="84"/>
        <v>11.70802004060444</v>
      </c>
    </row>
    <row r="326" spans="10:28" x14ac:dyDescent="0.3">
      <c r="J326">
        <v>321</v>
      </c>
      <c r="K326">
        <f t="shared" si="68"/>
        <v>-0.39794863130761032</v>
      </c>
      <c r="L326">
        <f t="shared" si="69"/>
        <v>326.24229979466116</v>
      </c>
      <c r="M326">
        <f t="shared" si="70"/>
        <v>5.6940022906952574</v>
      </c>
      <c r="N326">
        <f t="shared" si="71"/>
        <v>0.83139493952340526</v>
      </c>
      <c r="O326">
        <f t="shared" si="72"/>
        <v>-0.33085247825941261</v>
      </c>
      <c r="P326">
        <f t="shared" si="73"/>
        <v>-0.33720678511455759</v>
      </c>
      <c r="Q326">
        <f t="shared" si="74"/>
        <v>-19.32052561023902</v>
      </c>
      <c r="R326">
        <f t="shared" si="75"/>
        <v>-0.3505972427852696</v>
      </c>
      <c r="S326">
        <f t="shared" si="76"/>
        <v>-5.8032263470128631E-2</v>
      </c>
      <c r="T326">
        <f t="shared" si="77"/>
        <v>1.6288612126920499</v>
      </c>
      <c r="U326">
        <f t="shared" si="78"/>
        <v>93.326872899815569</v>
      </c>
      <c r="V326">
        <f t="shared" si="79"/>
        <v>6.2217915266543713</v>
      </c>
      <c r="X326">
        <f t="shared" si="80"/>
        <v>-3.8715968730190474E-2</v>
      </c>
      <c r="Y326">
        <f t="shared" si="81"/>
        <v>1.6095219741184219</v>
      </c>
      <c r="Z326">
        <f t="shared" si="82"/>
        <v>92.218816150550097</v>
      </c>
      <c r="AA326">
        <f t="shared" si="83"/>
        <v>6.1479210767033399</v>
      </c>
      <c r="AB326">
        <f t="shared" si="84"/>
        <v>11.70415784659332</v>
      </c>
    </row>
    <row r="327" spans="10:28" x14ac:dyDescent="0.3">
      <c r="J327">
        <v>322</v>
      </c>
      <c r="K327">
        <f t="shared" ref="K327:K370" si="85">-SIN(23.45*PI()/180)</f>
        <v>-0.39794863130761032</v>
      </c>
      <c r="L327">
        <f t="shared" ref="L327:L370" si="86">360*(J327+10)/365.25</f>
        <v>327.22792607802876</v>
      </c>
      <c r="M327">
        <f t="shared" ref="M327:M370" si="87">L327*PI()/180</f>
        <v>5.7112047145342171</v>
      </c>
      <c r="N327">
        <f t="shared" ref="N327:N370" si="88">COS(M327)</f>
        <v>0.84083053331228874</v>
      </c>
      <c r="O327">
        <f t="shared" ref="O327:O370" si="89">K327*N327</f>
        <v>-0.33460735989327334</v>
      </c>
      <c r="P327">
        <f t="shared" ref="P327:P370" si="90">ASIN(O327)</f>
        <v>-0.3411885420507747</v>
      </c>
      <c r="Q327">
        <f t="shared" ref="Q327:Q370" si="91">P327*180/PI()</f>
        <v>-19.548663477731203</v>
      </c>
      <c r="R327">
        <f t="shared" ref="R327:R370" si="92">TAN(P327)</f>
        <v>-0.35507470518807138</v>
      </c>
      <c r="S327">
        <f t="shared" ref="S327:S370" si="93">TAN(D$19)*R327</f>
        <v>-5.8773391026559901E-2</v>
      </c>
      <c r="T327">
        <f t="shared" ref="T327:T370" si="94">ACOS(S327)</f>
        <v>1.6296036074606961</v>
      </c>
      <c r="U327">
        <f t="shared" ref="U327:U370" si="95">T327*180/PI()</f>
        <v>93.369408986791598</v>
      </c>
      <c r="V327">
        <f t="shared" ref="V327:V390" si="96">U327/15</f>
        <v>6.2246272657861068</v>
      </c>
      <c r="X327">
        <f t="shared" ref="X327:X390" si="97">TAN(0.109983)*TAN(P327)</f>
        <v>-3.9210408712092013E-2</v>
      </c>
      <c r="Y327">
        <f t="shared" ref="Y327:Y390" si="98">ACOS(X327)</f>
        <v>1.6100167898453688</v>
      </c>
      <c r="Z327">
        <f t="shared" ref="Z327:Z390" si="99">Y327*180/PI()</f>
        <v>92.247167003340849</v>
      </c>
      <c r="AA327">
        <f t="shared" ref="AA327:AA390" si="100">Z327/15</f>
        <v>6.1498111335560566</v>
      </c>
      <c r="AB327">
        <f t="shared" ref="AB327:AB390" si="101">24-2*AA327</f>
        <v>11.700377732887887</v>
      </c>
    </row>
    <row r="328" spans="10:28" x14ac:dyDescent="0.3">
      <c r="J328">
        <v>323</v>
      </c>
      <c r="K328">
        <f t="shared" si="85"/>
        <v>-0.39794863130761032</v>
      </c>
      <c r="L328">
        <f t="shared" si="86"/>
        <v>328.2135523613963</v>
      </c>
      <c r="M328">
        <f t="shared" si="87"/>
        <v>5.7284071383731749</v>
      </c>
      <c r="N328">
        <f t="shared" si="88"/>
        <v>0.85001731181870177</v>
      </c>
      <c r="O328">
        <f t="shared" si="89"/>
        <v>-0.33826322582602658</v>
      </c>
      <c r="P328">
        <f t="shared" si="90"/>
        <v>-0.34507071635301279</v>
      </c>
      <c r="Q328">
        <f t="shared" si="91"/>
        <v>-19.771095680583592</v>
      </c>
      <c r="R328">
        <f t="shared" si="92"/>
        <v>-0.35945239290978048</v>
      </c>
      <c r="S328">
        <f t="shared" si="93"/>
        <v>-5.9498003477125486E-2</v>
      </c>
      <c r="T328">
        <f t="shared" si="94"/>
        <v>1.6303294902561112</v>
      </c>
      <c r="U328">
        <f t="shared" si="95"/>
        <v>93.410999007390046</v>
      </c>
      <c r="V328">
        <f t="shared" si="96"/>
        <v>6.2273999338260033</v>
      </c>
      <c r="X328">
        <f t="shared" si="97"/>
        <v>-3.9693830713924565E-2</v>
      </c>
      <c r="Y328">
        <f t="shared" si="98"/>
        <v>1.6105005885075496</v>
      </c>
      <c r="Z328">
        <f t="shared" si="99"/>
        <v>92.274886624817896</v>
      </c>
      <c r="AA328">
        <f t="shared" si="100"/>
        <v>6.1516591083211933</v>
      </c>
      <c r="AB328">
        <f t="shared" si="101"/>
        <v>11.696681783357613</v>
      </c>
    </row>
    <row r="329" spans="10:28" x14ac:dyDescent="0.3">
      <c r="J329">
        <v>324</v>
      </c>
      <c r="K329">
        <f t="shared" si="85"/>
        <v>-0.39794863130761032</v>
      </c>
      <c r="L329">
        <f t="shared" si="86"/>
        <v>329.19917864476383</v>
      </c>
      <c r="M329">
        <f t="shared" si="87"/>
        <v>5.7456095622121337</v>
      </c>
      <c r="N329">
        <f t="shared" si="88"/>
        <v>0.85895255652708447</v>
      </c>
      <c r="O329">
        <f t="shared" si="89"/>
        <v>-0.34181899422812606</v>
      </c>
      <c r="P329">
        <f t="shared" si="90"/>
        <v>-0.34885180033676305</v>
      </c>
      <c r="Q329">
        <f t="shared" si="91"/>
        <v>-19.987735834836993</v>
      </c>
      <c r="R329">
        <f t="shared" si="92"/>
        <v>-0.36372784694540294</v>
      </c>
      <c r="S329">
        <f t="shared" si="93"/>
        <v>-6.020569379744449E-2</v>
      </c>
      <c r="T329">
        <f t="shared" si="94"/>
        <v>1.6310384515667928</v>
      </c>
      <c r="U329">
        <f t="shared" si="95"/>
        <v>93.451619498330174</v>
      </c>
      <c r="V329">
        <f t="shared" si="96"/>
        <v>6.2301079665553454</v>
      </c>
      <c r="X329">
        <f t="shared" si="97"/>
        <v>-4.0165963191166852E-2</v>
      </c>
      <c r="Y329">
        <f t="shared" si="98"/>
        <v>1.6109730978231105</v>
      </c>
      <c r="Z329">
        <f t="shared" si="99"/>
        <v>92.301959414380136</v>
      </c>
      <c r="AA329">
        <f t="shared" si="100"/>
        <v>6.1534639609586756</v>
      </c>
      <c r="AB329">
        <f t="shared" si="101"/>
        <v>11.693072078082649</v>
      </c>
    </row>
    <row r="330" spans="10:28" x14ac:dyDescent="0.3">
      <c r="J330">
        <v>325</v>
      </c>
      <c r="K330">
        <f t="shared" si="85"/>
        <v>-0.39794863130761032</v>
      </c>
      <c r="L330">
        <f t="shared" si="86"/>
        <v>330.18480492813143</v>
      </c>
      <c r="M330">
        <f t="shared" si="87"/>
        <v>5.7628119860510925</v>
      </c>
      <c r="N330">
        <f t="shared" si="88"/>
        <v>0.86763362335477301</v>
      </c>
      <c r="O330">
        <f t="shared" si="89"/>
        <v>-0.34527361289049463</v>
      </c>
      <c r="P330">
        <f t="shared" si="90"/>
        <v>-0.35253031159615361</v>
      </c>
      <c r="Q330">
        <f t="shared" si="91"/>
        <v>-20.198499004891428</v>
      </c>
      <c r="R330">
        <f t="shared" si="92"/>
        <v>-0.36789861689750075</v>
      </c>
      <c r="S330">
        <f t="shared" si="93"/>
        <v>-6.0896056387893263E-2</v>
      </c>
      <c r="T330">
        <f t="shared" si="94"/>
        <v>1.6317300832375599</v>
      </c>
      <c r="U330">
        <f t="shared" si="95"/>
        <v>93.491247074042704</v>
      </c>
      <c r="V330">
        <f t="shared" si="96"/>
        <v>6.23274980493618</v>
      </c>
      <c r="X330">
        <f t="shared" si="97"/>
        <v>-4.0626535549818106E-2</v>
      </c>
      <c r="Y330">
        <f t="shared" si="98"/>
        <v>1.6114340464405257</v>
      </c>
      <c r="Z330">
        <f t="shared" si="99"/>
        <v>92.32836982473043</v>
      </c>
      <c r="AA330">
        <f t="shared" si="100"/>
        <v>6.1552246549820291</v>
      </c>
      <c r="AB330">
        <f t="shared" si="101"/>
        <v>11.689550690035942</v>
      </c>
    </row>
    <row r="331" spans="10:28" x14ac:dyDescent="0.3">
      <c r="J331">
        <v>326</v>
      </c>
      <c r="K331">
        <f t="shared" si="85"/>
        <v>-0.39794863130761032</v>
      </c>
      <c r="L331">
        <f t="shared" si="86"/>
        <v>331.17043121149896</v>
      </c>
      <c r="M331">
        <f t="shared" si="87"/>
        <v>5.7800144098900512</v>
      </c>
      <c r="N331">
        <f t="shared" si="88"/>
        <v>0.87605794343442811</v>
      </c>
      <c r="O331">
        <f t="shared" si="89"/>
        <v>-0.3486260595358906</v>
      </c>
      <c r="P331">
        <f t="shared" si="90"/>
        <v>-0.35610479445344523</v>
      </c>
      <c r="Q331">
        <f t="shared" si="91"/>
        <v>-20.403301786556099</v>
      </c>
      <c r="R331">
        <f t="shared" si="92"/>
        <v>-0.37196226503386881</v>
      </c>
      <c r="S331">
        <f t="shared" si="93"/>
        <v>-6.1568687745248353E-2</v>
      </c>
      <c r="T331">
        <f t="shared" si="94"/>
        <v>1.6324039791480227</v>
      </c>
      <c r="U331">
        <f t="shared" si="95"/>
        <v>93.529858465543356</v>
      </c>
      <c r="V331">
        <f t="shared" si="96"/>
        <v>6.23532389770289</v>
      </c>
      <c r="X331">
        <f t="shared" si="97"/>
        <v>-4.10752785944817E-2</v>
      </c>
      <c r="Y331">
        <f t="shared" si="98"/>
        <v>1.6118831643887073</v>
      </c>
      <c r="Z331">
        <f t="shared" si="99"/>
        <v>92.354102387664796</v>
      </c>
      <c r="AA331">
        <f t="shared" si="100"/>
        <v>6.1569401591776529</v>
      </c>
      <c r="AB331">
        <f t="shared" si="101"/>
        <v>11.686119681644694</v>
      </c>
    </row>
    <row r="332" spans="10:28" x14ac:dyDescent="0.3">
      <c r="J332">
        <v>327</v>
      </c>
      <c r="K332">
        <f t="shared" si="85"/>
        <v>-0.39794863130761032</v>
      </c>
      <c r="L332">
        <f t="shared" si="86"/>
        <v>332.1560574948665</v>
      </c>
      <c r="M332">
        <f t="shared" si="87"/>
        <v>5.7972168337290091</v>
      </c>
      <c r="N332">
        <f t="shared" si="88"/>
        <v>0.8842230238742036</v>
      </c>
      <c r="O332">
        <f t="shared" si="89"/>
        <v>-0.35187534212141575</v>
      </c>
      <c r="P332">
        <f t="shared" si="90"/>
        <v>-0.35957382142540267</v>
      </c>
      <c r="Q332">
        <f t="shared" si="91"/>
        <v>-20.602062391066308</v>
      </c>
      <c r="R332">
        <f t="shared" si="92"/>
        <v>-0.37591637047701654</v>
      </c>
      <c r="S332">
        <f t="shared" si="93"/>
        <v>-6.2223187156146338E-2</v>
      </c>
      <c r="T332">
        <f t="shared" si="94"/>
        <v>1.6330597359133829</v>
      </c>
      <c r="U332">
        <f t="shared" si="95"/>
        <v>93.567430560585635</v>
      </c>
      <c r="V332">
        <f t="shared" si="96"/>
        <v>6.2378287040390425</v>
      </c>
      <c r="X332">
        <f t="shared" si="97"/>
        <v>-4.1511924991003826E-2</v>
      </c>
      <c r="Y332">
        <f t="shared" si="98"/>
        <v>1.6123201835418188</v>
      </c>
      <c r="Z332">
        <f t="shared" si="99"/>
        <v>92.379141740704469</v>
      </c>
      <c r="AA332">
        <f t="shared" si="100"/>
        <v>6.1586094493802976</v>
      </c>
      <c r="AB332">
        <f t="shared" si="101"/>
        <v>11.682781101239405</v>
      </c>
    </row>
    <row r="333" spans="10:28" x14ac:dyDescent="0.3">
      <c r="J333">
        <v>328</v>
      </c>
      <c r="K333">
        <f t="shared" si="85"/>
        <v>-0.39794863130761032</v>
      </c>
      <c r="L333">
        <f t="shared" si="86"/>
        <v>333.1416837782341</v>
      </c>
      <c r="M333">
        <f t="shared" si="87"/>
        <v>5.8144192575679678</v>
      </c>
      <c r="N333">
        <f t="shared" si="88"/>
        <v>0.89212644849543454</v>
      </c>
      <c r="O333">
        <f t="shared" si="89"/>
        <v>-0.3550204991320775</v>
      </c>
      <c r="P333">
        <f t="shared" si="90"/>
        <v>-0.3629359947030894</v>
      </c>
      <c r="Q333">
        <f t="shared" si="91"/>
        <v>-20.794700729869426</v>
      </c>
      <c r="R333">
        <f t="shared" si="92"/>
        <v>-0.37975853351440886</v>
      </c>
      <c r="S333">
        <f t="shared" si="93"/>
        <v>-6.2859157410532232E-2</v>
      </c>
      <c r="T333">
        <f t="shared" si="94"/>
        <v>1.6336969536057238</v>
      </c>
      <c r="U333">
        <f t="shared" si="95"/>
        <v>93.603940444987828</v>
      </c>
      <c r="V333">
        <f t="shared" si="96"/>
        <v>6.2402626963325218</v>
      </c>
      <c r="X333">
        <f t="shared" si="97"/>
        <v>-4.1936209742447474E-2</v>
      </c>
      <c r="Y333">
        <f t="shared" si="98"/>
        <v>1.6127448380975742</v>
      </c>
      <c r="Z333">
        <f t="shared" si="99"/>
        <v>92.403472654500248</v>
      </c>
      <c r="AA333">
        <f t="shared" si="100"/>
        <v>6.1602315103000169</v>
      </c>
      <c r="AB333">
        <f t="shared" si="101"/>
        <v>11.679536979399966</v>
      </c>
    </row>
    <row r="334" spans="10:28" x14ac:dyDescent="0.3">
      <c r="J334">
        <v>329</v>
      </c>
      <c r="K334">
        <f t="shared" si="85"/>
        <v>-0.39794863130761032</v>
      </c>
      <c r="L334">
        <f t="shared" si="86"/>
        <v>334.12731006160163</v>
      </c>
      <c r="M334">
        <f t="shared" si="87"/>
        <v>5.8316216814069257</v>
      </c>
      <c r="N334">
        <f t="shared" si="88"/>
        <v>0.89976587854762091</v>
      </c>
      <c r="O334">
        <f t="shared" si="89"/>
        <v>-0.3580605998653153</v>
      </c>
      <c r="P334">
        <f t="shared" si="90"/>
        <v>-0.36618994764143403</v>
      </c>
      <c r="Q334">
        <f t="shared" si="91"/>
        <v>-20.981138499970765</v>
      </c>
      <c r="R334">
        <f t="shared" si="92"/>
        <v>-0.38348638001726276</v>
      </c>
      <c r="S334">
        <f t="shared" si="93"/>
        <v>-6.347620553307641E-2</v>
      </c>
      <c r="T334">
        <f t="shared" si="94"/>
        <v>1.6343152364937445</v>
      </c>
      <c r="U334">
        <f t="shared" si="95"/>
        <v>93.63936544501658</v>
      </c>
      <c r="V334">
        <f t="shared" si="96"/>
        <v>6.2426243630011049</v>
      </c>
      <c r="X334">
        <f t="shared" si="97"/>
        <v>-4.2347870677053957E-2</v>
      </c>
      <c r="Y334">
        <f t="shared" si="98"/>
        <v>1.6131568650676631</v>
      </c>
      <c r="Z334">
        <f t="shared" si="99"/>
        <v>92.427080060931914</v>
      </c>
      <c r="AA334">
        <f t="shared" si="100"/>
        <v>6.1618053373954611</v>
      </c>
      <c r="AB334">
        <f t="shared" si="101"/>
        <v>11.676389325209078</v>
      </c>
    </row>
    <row r="335" spans="10:28" x14ac:dyDescent="0.3">
      <c r="J335">
        <v>330</v>
      </c>
      <c r="K335">
        <f t="shared" si="85"/>
        <v>-0.39794863130761032</v>
      </c>
      <c r="L335">
        <f t="shared" si="86"/>
        <v>335.11293634496917</v>
      </c>
      <c r="M335">
        <f t="shared" si="87"/>
        <v>5.8488241052458836</v>
      </c>
      <c r="N335">
        <f t="shared" si="88"/>
        <v>0.90713905340050405</v>
      </c>
      <c r="O335">
        <f t="shared" si="89"/>
        <v>-0.3609947447064118</v>
      </c>
      <c r="P335">
        <f t="shared" si="90"/>
        <v>-0.36933434625474526</v>
      </c>
      <c r="Q335">
        <f t="shared" si="91"/>
        <v>-21.161299269620287</v>
      </c>
      <c r="R335">
        <f t="shared" si="92"/>
        <v>-0.38709756595456823</v>
      </c>
      <c r="S335">
        <f t="shared" si="93"/>
        <v>-6.4073943530353492E-2</v>
      </c>
      <c r="T335">
        <f t="shared" si="94"/>
        <v>1.6349141937987139</v>
      </c>
      <c r="U335">
        <f t="shared" si="95"/>
        <v>93.67368317069986</v>
      </c>
      <c r="V335">
        <f t="shared" si="96"/>
        <v>6.2449122113799911</v>
      </c>
      <c r="X335">
        <f t="shared" si="97"/>
        <v>-4.2746648946720082E-2</v>
      </c>
      <c r="Y335">
        <f t="shared" si="98"/>
        <v>1.6135560047788264</v>
      </c>
      <c r="Z335">
        <f t="shared" si="99"/>
        <v>92.449949081817635</v>
      </c>
      <c r="AA335">
        <f t="shared" si="100"/>
        <v>6.1633299387878422</v>
      </c>
      <c r="AB335">
        <f t="shared" si="101"/>
        <v>11.673340122424316</v>
      </c>
    </row>
    <row r="336" spans="10:28" x14ac:dyDescent="0.3">
      <c r="J336">
        <v>331</v>
      </c>
      <c r="K336">
        <f t="shared" si="85"/>
        <v>-0.39794863130761032</v>
      </c>
      <c r="L336">
        <f t="shared" si="86"/>
        <v>336.09856262833677</v>
      </c>
      <c r="M336">
        <f t="shared" si="87"/>
        <v>5.8660265290848432</v>
      </c>
      <c r="N336">
        <f t="shared" si="88"/>
        <v>0.91424379121302279</v>
      </c>
      <c r="O336">
        <f t="shared" si="89"/>
        <v>-0.36382206539470308</v>
      </c>
      <c r="P336">
        <f t="shared" si="90"/>
        <v>-0.37236789071416937</v>
      </c>
      <c r="Q336">
        <f t="shared" si="91"/>
        <v>-21.33510856411058</v>
      </c>
      <c r="R336">
        <f t="shared" si="92"/>
        <v>-0.3905897819878868</v>
      </c>
      <c r="S336">
        <f t="shared" si="93"/>
        <v>-6.4651989151391864E-2</v>
      </c>
      <c r="T336">
        <f t="shared" si="94"/>
        <v>1.6354934404642139</v>
      </c>
      <c r="U336">
        <f t="shared" si="95"/>
        <v>93.706871559930036</v>
      </c>
      <c r="V336">
        <f t="shared" si="96"/>
        <v>6.2471247706620021</v>
      </c>
      <c r="X336">
        <f t="shared" si="97"/>
        <v>-4.3132289534395324E-2</v>
      </c>
      <c r="Y336">
        <f t="shared" si="98"/>
        <v>1.6139420013829762</v>
      </c>
      <c r="Z336">
        <f t="shared" si="99"/>
        <v>92.472065058141808</v>
      </c>
      <c r="AA336">
        <f t="shared" si="100"/>
        <v>6.1648043372094543</v>
      </c>
      <c r="AB336">
        <f t="shared" si="101"/>
        <v>11.670391325581091</v>
      </c>
    </row>
    <row r="337" spans="10:28" x14ac:dyDescent="0.3">
      <c r="J337">
        <v>332</v>
      </c>
      <c r="K337">
        <f t="shared" si="85"/>
        <v>-0.39794863130761032</v>
      </c>
      <c r="L337">
        <f t="shared" si="86"/>
        <v>337.0841889117043</v>
      </c>
      <c r="M337">
        <f t="shared" si="87"/>
        <v>5.8832289529238011</v>
      </c>
      <c r="N337">
        <f t="shared" si="88"/>
        <v>0.92107798957895259</v>
      </c>
      <c r="O337">
        <f t="shared" si="89"/>
        <v>-0.36654172528050954</v>
      </c>
      <c r="P337">
        <f t="shared" si="90"/>
        <v>-0.37528931684293498</v>
      </c>
      <c r="Q337">
        <f t="shared" si="91"/>
        <v>-21.502493951448098</v>
      </c>
      <c r="R337">
        <f t="shared" si="92"/>
        <v>-0.3939607581314255</v>
      </c>
      <c r="S337">
        <f t="shared" si="93"/>
        <v>-6.5209966659027799E-2</v>
      </c>
      <c r="T337">
        <f t="shared" si="94"/>
        <v>1.6360525979370788</v>
      </c>
      <c r="U337">
        <f t="shared" si="95"/>
        <v>93.738908923208385</v>
      </c>
      <c r="V337">
        <f t="shared" si="96"/>
        <v>6.2492605948805586</v>
      </c>
      <c r="X337">
        <f t="shared" si="97"/>
        <v>-4.3504541768687413E-2</v>
      </c>
      <c r="Y337">
        <f t="shared" si="98"/>
        <v>1.6143146033746376</v>
      </c>
      <c r="Z337">
        <f t="shared" si="99"/>
        <v>92.493413579702178</v>
      </c>
      <c r="AA337">
        <f t="shared" si="100"/>
        <v>6.1662275719801452</v>
      </c>
      <c r="AB337">
        <f t="shared" si="101"/>
        <v>11.66754485603971</v>
      </c>
    </row>
    <row r="338" spans="10:28" x14ac:dyDescent="0.3">
      <c r="J338">
        <v>333</v>
      </c>
      <c r="K338">
        <f t="shared" si="85"/>
        <v>-0.39794863130761032</v>
      </c>
      <c r="L338">
        <f t="shared" si="86"/>
        <v>338.0698151950719</v>
      </c>
      <c r="M338">
        <f t="shared" si="87"/>
        <v>5.9004313767627599</v>
      </c>
      <c r="N338">
        <f t="shared" si="88"/>
        <v>0.92763962614904638</v>
      </c>
      <c r="O338">
        <f t="shared" si="89"/>
        <v>-0.36915291957271634</v>
      </c>
      <c r="P338">
        <f t="shared" si="90"/>
        <v>-0.37809739760508898</v>
      </c>
      <c r="Q338">
        <f t="shared" si="91"/>
        <v>-21.663385127651399</v>
      </c>
      <c r="R338">
        <f t="shared" si="92"/>
        <v>-0.39720826846087592</v>
      </c>
      <c r="S338">
        <f t="shared" si="93"/>
        <v>-6.5747507609331443E-2</v>
      </c>
      <c r="T338">
        <f t="shared" si="94"/>
        <v>1.6365912949567549</v>
      </c>
      <c r="U338">
        <f t="shared" si="95"/>
        <v>93.769773988872103</v>
      </c>
      <c r="V338">
        <f t="shared" si="96"/>
        <v>6.251318265924807</v>
      </c>
      <c r="X338">
        <f t="shared" si="97"/>
        <v>-4.3863159843852875E-2</v>
      </c>
      <c r="Y338">
        <f t="shared" si="98"/>
        <v>1.6146735641138796</v>
      </c>
      <c r="Z338">
        <f t="shared" si="99"/>
        <v>92.513980515071651</v>
      </c>
      <c r="AA338">
        <f t="shared" si="100"/>
        <v>6.1675987010047768</v>
      </c>
      <c r="AB338">
        <f t="shared" si="101"/>
        <v>11.664802597990446</v>
      </c>
    </row>
    <row r="339" spans="10:28" x14ac:dyDescent="0.3">
      <c r="J339">
        <v>334</v>
      </c>
      <c r="K339">
        <f t="shared" si="85"/>
        <v>-0.39794863130761032</v>
      </c>
      <c r="L339">
        <f t="shared" si="86"/>
        <v>339.05544147843943</v>
      </c>
      <c r="M339">
        <f t="shared" si="87"/>
        <v>5.9176338006017195</v>
      </c>
      <c r="N339">
        <f t="shared" si="88"/>
        <v>0.93392675922947654</v>
      </c>
      <c r="O339">
        <f t="shared" si="89"/>
        <v>-0.37165487557692234</v>
      </c>
      <c r="P339">
        <f t="shared" si="90"/>
        <v>-0.38079094458329354</v>
      </c>
      <c r="Q339">
        <f t="shared" si="91"/>
        <v>-21.817714001422736</v>
      </c>
      <c r="R339">
        <f t="shared" si="92"/>
        <v>-0.40033013585355853</v>
      </c>
      <c r="S339">
        <f t="shared" si="93"/>
        <v>-6.6264251636214508E-2</v>
      </c>
      <c r="T339">
        <f t="shared" si="94"/>
        <v>1.6371091683501471</v>
      </c>
      <c r="U339">
        <f t="shared" si="95"/>
        <v>93.799445948635594</v>
      </c>
      <c r="V339">
        <f t="shared" si="96"/>
        <v>6.2532963965757062</v>
      </c>
      <c r="X339">
        <f t="shared" si="97"/>
        <v>-4.4207903343244655E-2</v>
      </c>
      <c r="Y339">
        <f t="shared" si="98"/>
        <v>1.6150186423527904</v>
      </c>
      <c r="Z339">
        <f t="shared" si="99"/>
        <v>92.533752041763037</v>
      </c>
      <c r="AA339">
        <f t="shared" si="100"/>
        <v>6.1689168027842021</v>
      </c>
      <c r="AB339">
        <f t="shared" si="101"/>
        <v>11.662166394431596</v>
      </c>
    </row>
    <row r="340" spans="10:28" x14ac:dyDescent="0.3">
      <c r="J340">
        <v>335</v>
      </c>
      <c r="K340">
        <f t="shared" si="85"/>
        <v>-0.39794863130761032</v>
      </c>
      <c r="L340">
        <f t="shared" si="86"/>
        <v>340.04106776180697</v>
      </c>
      <c r="M340">
        <f t="shared" si="87"/>
        <v>5.9348362244406774</v>
      </c>
      <c r="N340">
        <f t="shared" si="88"/>
        <v>0.93993752835641331</v>
      </c>
      <c r="O340">
        <f t="shared" si="89"/>
        <v>-0.37404685292409284</v>
      </c>
      <c r="P340">
        <f t="shared" si="90"/>
        <v>-0.38336880944115881</v>
      </c>
      <c r="Q340">
        <f t="shared" si="91"/>
        <v>-21.965414777933507</v>
      </c>
      <c r="R340">
        <f t="shared" si="92"/>
        <v>-0.40332423674155843</v>
      </c>
      <c r="S340">
        <f t="shared" si="93"/>
        <v>-6.6759847238188411E-2</v>
      </c>
      <c r="T340">
        <f t="shared" si="94"/>
        <v>1.6376058638288715</v>
      </c>
      <c r="U340">
        <f t="shared" si="95"/>
        <v>93.827904503269735</v>
      </c>
      <c r="V340">
        <f t="shared" si="96"/>
        <v>6.2551936335513156</v>
      </c>
      <c r="X340">
        <f t="shared" si="97"/>
        <v>-4.4538537764194266E-2</v>
      </c>
      <c r="Y340">
        <f t="shared" si="98"/>
        <v>1.6153496027634653</v>
      </c>
      <c r="Z340">
        <f t="shared" si="99"/>
        <v>92.552714676480619</v>
      </c>
      <c r="AA340">
        <f t="shared" si="100"/>
        <v>6.1701809784320414</v>
      </c>
      <c r="AB340">
        <f t="shared" si="101"/>
        <v>11.659638043135917</v>
      </c>
    </row>
    <row r="341" spans="10:28" x14ac:dyDescent="0.3">
      <c r="J341">
        <v>336</v>
      </c>
      <c r="K341">
        <f t="shared" si="85"/>
        <v>-0.39794863130761032</v>
      </c>
      <c r="L341">
        <f t="shared" si="86"/>
        <v>341.02669404517457</v>
      </c>
      <c r="M341">
        <f t="shared" si="87"/>
        <v>5.9520386482796361</v>
      </c>
      <c r="N341">
        <f t="shared" si="88"/>
        <v>0.94567015484656902</v>
      </c>
      <c r="O341">
        <f t="shared" si="89"/>
        <v>-0.37632814378964807</v>
      </c>
      <c r="P341">
        <f t="shared" si="90"/>
        <v>-0.38582988536549445</v>
      </c>
      <c r="Q341">
        <f t="shared" si="91"/>
        <v>-22.106424041459199</v>
      </c>
      <c r="R341">
        <f t="shared" si="92"/>
        <v>-0.40618850585876215</v>
      </c>
      <c r="S341">
        <f t="shared" si="93"/>
        <v>-6.7233952564112853E-2</v>
      </c>
      <c r="T341">
        <f t="shared" si="94"/>
        <v>1.6380810367857042</v>
      </c>
      <c r="U341">
        <f t="shared" si="95"/>
        <v>93.855129908235</v>
      </c>
      <c r="V341">
        <f t="shared" si="96"/>
        <v>6.2570086605490003</v>
      </c>
      <c r="X341">
        <f t="shared" si="97"/>
        <v>-4.4854835042220577E-2</v>
      </c>
      <c r="Y341">
        <f t="shared" si="98"/>
        <v>1.6156662164653777</v>
      </c>
      <c r="Z341">
        <f t="shared" si="99"/>
        <v>92.57085530533621</v>
      </c>
      <c r="AA341">
        <f t="shared" si="100"/>
        <v>6.1713903536890804</v>
      </c>
      <c r="AB341">
        <f t="shared" si="101"/>
        <v>11.657219292621839</v>
      </c>
    </row>
    <row r="342" spans="10:28" x14ac:dyDescent="0.3">
      <c r="J342">
        <v>337</v>
      </c>
      <c r="K342">
        <f t="shared" si="85"/>
        <v>-0.39794863130761032</v>
      </c>
      <c r="L342">
        <f t="shared" si="86"/>
        <v>342.0123203285421</v>
      </c>
      <c r="M342">
        <f t="shared" si="87"/>
        <v>5.969241072118594</v>
      </c>
      <c r="N342">
        <f t="shared" si="88"/>
        <v>0.95112294232353567</v>
      </c>
      <c r="O342">
        <f t="shared" si="89"/>
        <v>-0.37849807310291822</v>
      </c>
      <c r="P342">
        <f t="shared" si="90"/>
        <v>-0.38817310848379771</v>
      </c>
      <c r="Q342">
        <f t="shared" si="91"/>
        <v>-22.240680836595459</v>
      </c>
      <c r="R342">
        <f t="shared" si="92"/>
        <v>-0.40892094096203363</v>
      </c>
      <c r="S342">
        <f t="shared" si="93"/>
        <v>-6.768623619466381E-2</v>
      </c>
      <c r="T342">
        <f t="shared" si="94"/>
        <v>1.6385343530868957</v>
      </c>
      <c r="U342">
        <f t="shared" si="95"/>
        <v>93.881103019077756</v>
      </c>
      <c r="V342">
        <f t="shared" si="96"/>
        <v>6.2587402012718503</v>
      </c>
      <c r="X342">
        <f t="shared" si="97"/>
        <v>-4.5156574072382674E-2</v>
      </c>
      <c r="Y342">
        <f t="shared" si="98"/>
        <v>1.6159682615499407</v>
      </c>
      <c r="Z342">
        <f t="shared" si="99"/>
        <v>92.588161213904343</v>
      </c>
      <c r="AA342">
        <f t="shared" si="100"/>
        <v>6.1725440809269561</v>
      </c>
      <c r="AB342">
        <f t="shared" si="101"/>
        <v>11.654911838146088</v>
      </c>
    </row>
    <row r="343" spans="10:28" x14ac:dyDescent="0.3">
      <c r="J343">
        <v>338</v>
      </c>
      <c r="K343">
        <f t="shared" si="85"/>
        <v>-0.39794863130761032</v>
      </c>
      <c r="L343">
        <f t="shared" si="86"/>
        <v>342.99794661190964</v>
      </c>
      <c r="M343">
        <f t="shared" si="87"/>
        <v>5.9864434959575519</v>
      </c>
      <c r="N343">
        <f t="shared" si="88"/>
        <v>0.95629427721977189</v>
      </c>
      <c r="O343">
        <f t="shared" si="89"/>
        <v>-0.38055599874690871</v>
      </c>
      <c r="P343">
        <f t="shared" si="90"/>
        <v>-0.39039745925226171</v>
      </c>
      <c r="Q343">
        <f t="shared" si="91"/>
        <v>-22.36812674778513</v>
      </c>
      <c r="R343">
        <f t="shared" si="92"/>
        <v>-0.41151960750621885</v>
      </c>
      <c r="S343">
        <f t="shared" si="93"/>
        <v>-6.8116377916159127E-2</v>
      </c>
      <c r="T343">
        <f t="shared" si="94"/>
        <v>1.6389654898569308</v>
      </c>
      <c r="U343">
        <f t="shared" si="95"/>
        <v>93.905805336393684</v>
      </c>
      <c r="V343">
        <f t="shared" si="96"/>
        <v>6.2603870224262455</v>
      </c>
      <c r="X343">
        <f t="shared" si="97"/>
        <v>-4.5443541225534213E-2</v>
      </c>
      <c r="Y343">
        <f t="shared" si="98"/>
        <v>1.6162555235999916</v>
      </c>
      <c r="Z343">
        <f t="shared" si="99"/>
        <v>92.604620116986538</v>
      </c>
      <c r="AA343">
        <f t="shared" si="100"/>
        <v>6.173641341132436</v>
      </c>
      <c r="AB343">
        <f t="shared" si="101"/>
        <v>11.652717317735128</v>
      </c>
    </row>
    <row r="344" spans="10:28" x14ac:dyDescent="0.3">
      <c r="J344">
        <v>339</v>
      </c>
      <c r="K344">
        <f t="shared" si="85"/>
        <v>-0.39794863130761032</v>
      </c>
      <c r="L344">
        <f t="shared" si="86"/>
        <v>343.98357289527723</v>
      </c>
      <c r="M344">
        <f t="shared" si="87"/>
        <v>6.0036459197965115</v>
      </c>
      <c r="N344">
        <f t="shared" si="88"/>
        <v>0.96118262925408393</v>
      </c>
      <c r="O344">
        <f t="shared" si="89"/>
        <v>-0.38250131174831298</v>
      </c>
      <c r="P344">
        <f t="shared" si="90"/>
        <v>-0.39250196380956565</v>
      </c>
      <c r="Q344">
        <f t="shared" si="91"/>
        <v>-22.488705976884692</v>
      </c>
      <c r="R344">
        <f t="shared" si="92"/>
        <v>-0.41398264325223177</v>
      </c>
      <c r="S344">
        <f t="shared" si="93"/>
        <v>-6.8524069483307332E-2</v>
      </c>
      <c r="T344">
        <f t="shared" si="94"/>
        <v>1.6393741362522367</v>
      </c>
      <c r="U344">
        <f t="shared" si="95"/>
        <v>93.92921905015794</v>
      </c>
      <c r="V344">
        <f t="shared" si="96"/>
        <v>6.2619479366771964</v>
      </c>
      <c r="X344">
        <f t="shared" si="97"/>
        <v>-4.5715530857187943E-2</v>
      </c>
      <c r="Y344">
        <f t="shared" si="98"/>
        <v>1.6165277962018967</v>
      </c>
      <c r="Z344">
        <f t="shared" si="99"/>
        <v>92.620220187952754</v>
      </c>
      <c r="AA344">
        <f t="shared" si="100"/>
        <v>6.174681345863517</v>
      </c>
      <c r="AB344">
        <f t="shared" si="101"/>
        <v>11.650637308272966</v>
      </c>
    </row>
    <row r="345" spans="10:28" x14ac:dyDescent="0.3">
      <c r="J345">
        <v>340</v>
      </c>
      <c r="K345">
        <f t="shared" si="85"/>
        <v>-0.39794863130761032</v>
      </c>
      <c r="L345">
        <f t="shared" si="86"/>
        <v>344.96919917864477</v>
      </c>
      <c r="M345">
        <f t="shared" si="87"/>
        <v>6.0208483436354694</v>
      </c>
      <c r="N345">
        <f t="shared" si="88"/>
        <v>0.96578655188445761</v>
      </c>
      <c r="O345">
        <f t="shared" si="89"/>
        <v>-0.38433343645771628</v>
      </c>
      <c r="P345">
        <f t="shared" si="90"/>
        <v>-0.39448569529171984</v>
      </c>
      <c r="Q345">
        <f t="shared" si="91"/>
        <v>-22.602365418499357</v>
      </c>
      <c r="R345">
        <f t="shared" si="92"/>
        <v>-0.41630826278717858</v>
      </c>
      <c r="S345">
        <f t="shared" si="93"/>
        <v>-6.8909015367396811E-2</v>
      </c>
      <c r="T345">
        <f t="shared" si="94"/>
        <v>1.6397599942202894</v>
      </c>
      <c r="U345">
        <f t="shared" si="95"/>
        <v>93.951327083218843</v>
      </c>
      <c r="V345">
        <f t="shared" si="96"/>
        <v>6.2634218055479227</v>
      </c>
      <c r="X345">
        <f t="shared" si="97"/>
        <v>-4.597234580666678E-2</v>
      </c>
      <c r="Y345">
        <f t="shared" si="98"/>
        <v>1.616784881447928</v>
      </c>
      <c r="Z345">
        <f t="shared" si="99"/>
        <v>92.634950087525425</v>
      </c>
      <c r="AA345">
        <f t="shared" si="100"/>
        <v>6.175663339168362</v>
      </c>
      <c r="AB345">
        <f t="shared" si="101"/>
        <v>11.648673321663276</v>
      </c>
    </row>
    <row r="346" spans="10:28" x14ac:dyDescent="0.3">
      <c r="J346">
        <v>341</v>
      </c>
      <c r="K346">
        <f t="shared" si="85"/>
        <v>-0.39794863130761032</v>
      </c>
      <c r="L346">
        <f t="shared" si="86"/>
        <v>345.95482546201231</v>
      </c>
      <c r="M346">
        <f t="shared" si="87"/>
        <v>6.0380507674744273</v>
      </c>
      <c r="N346">
        <f t="shared" si="88"/>
        <v>0.97010468273611727</v>
      </c>
      <c r="O346">
        <f t="shared" si="89"/>
        <v>-0.38605183071994142</v>
      </c>
      <c r="P346">
        <f t="shared" si="90"/>
        <v>-0.39634777510328051</v>
      </c>
      <c r="Q346">
        <f t="shared" si="91"/>
        <v>-22.709054732818299</v>
      </c>
      <c r="R346">
        <f t="shared" si="92"/>
        <v>-0.41849476193533103</v>
      </c>
      <c r="S346">
        <f t="shared" si="93"/>
        <v>-6.9270933486417816E-2</v>
      </c>
      <c r="T346">
        <f t="shared" si="94"/>
        <v>1.6401227792405448</v>
      </c>
      <c r="U346">
        <f t="shared" si="95"/>
        <v>93.972113133750042</v>
      </c>
      <c r="V346">
        <f t="shared" si="96"/>
        <v>6.2648075422500025</v>
      </c>
      <c r="X346">
        <f t="shared" si="97"/>
        <v>-4.6213797884201532E-2</v>
      </c>
      <c r="Y346">
        <f t="shared" si="98"/>
        <v>1.6170265904265537</v>
      </c>
      <c r="Z346">
        <f t="shared" si="99"/>
        <v>92.648798991871104</v>
      </c>
      <c r="AA346">
        <f t="shared" si="100"/>
        <v>6.1765865994580738</v>
      </c>
      <c r="AB346">
        <f t="shared" si="101"/>
        <v>11.646826801083852</v>
      </c>
    </row>
    <row r="347" spans="10:28" x14ac:dyDescent="0.3">
      <c r="J347">
        <v>342</v>
      </c>
      <c r="K347">
        <f t="shared" si="85"/>
        <v>-0.39794863130761032</v>
      </c>
      <c r="L347">
        <f t="shared" si="86"/>
        <v>346.9404517453799</v>
      </c>
      <c r="M347">
        <f t="shared" si="87"/>
        <v>6.055253191313386</v>
      </c>
      <c r="N347">
        <f t="shared" si="88"/>
        <v>0.97413574400467196</v>
      </c>
      <c r="O347">
        <f t="shared" si="89"/>
        <v>-0.38765598603447987</v>
      </c>
      <c r="P347">
        <f t="shared" si="90"/>
        <v>-0.39808737414030232</v>
      </c>
      <c r="Q347">
        <f t="shared" si="91"/>
        <v>-22.808726415684671</v>
      </c>
      <c r="R347">
        <f t="shared" si="92"/>
        <v>-0.42054052203874159</v>
      </c>
      <c r="S347">
        <f t="shared" si="93"/>
        <v>-6.9609555913607041E-2</v>
      </c>
      <c r="T347">
        <f t="shared" si="94"/>
        <v>1.6404622210436128</v>
      </c>
      <c r="U347">
        <f t="shared" si="95"/>
        <v>93.991561716456161</v>
      </c>
      <c r="V347">
        <f t="shared" si="96"/>
        <v>6.2661041144304104</v>
      </c>
      <c r="X347">
        <f t="shared" si="97"/>
        <v>-4.643970834363325E-2</v>
      </c>
      <c r="Y347">
        <f t="shared" si="98"/>
        <v>1.6172527436982822</v>
      </c>
      <c r="Z347">
        <f t="shared" si="99"/>
        <v>92.661756619864207</v>
      </c>
      <c r="AA347">
        <f t="shared" si="100"/>
        <v>6.1774504413242806</v>
      </c>
      <c r="AB347">
        <f t="shared" si="101"/>
        <v>11.645099117351439</v>
      </c>
    </row>
    <row r="348" spans="10:28" x14ac:dyDescent="0.3">
      <c r="J348">
        <v>343</v>
      </c>
      <c r="K348">
        <f t="shared" si="85"/>
        <v>-0.39794863130761032</v>
      </c>
      <c r="L348">
        <f t="shared" si="86"/>
        <v>347.92607802874744</v>
      </c>
      <c r="M348">
        <f t="shared" si="87"/>
        <v>6.0724556151523457</v>
      </c>
      <c r="N348">
        <f t="shared" si="88"/>
        <v>0.9778785428342387</v>
      </c>
      <c r="O348">
        <f t="shared" si="89"/>
        <v>-0.38914542770596566</v>
      </c>
      <c r="P348">
        <f t="shared" si="90"/>
        <v>-0.39970371396049914</v>
      </c>
      <c r="Q348">
        <f t="shared" si="91"/>
        <v>-22.901335865640885</v>
      </c>
      <c r="R348">
        <f t="shared" si="92"/>
        <v>-0.42244401408646071</v>
      </c>
      <c r="S348">
        <f t="shared" si="93"/>
        <v>-6.9924629560932289E-2</v>
      </c>
      <c r="T348">
        <f t="shared" si="94"/>
        <v>1.640778064305126</v>
      </c>
      <c r="U348">
        <f t="shared" si="95"/>
        <v>94.009658202328495</v>
      </c>
      <c r="V348">
        <f t="shared" si="96"/>
        <v>6.2673105468218999</v>
      </c>
      <c r="X348">
        <f t="shared" si="97"/>
        <v>-4.6649908338397029E-2</v>
      </c>
      <c r="Y348">
        <f t="shared" si="98"/>
        <v>1.6174631717547114</v>
      </c>
      <c r="Z348">
        <f t="shared" si="99"/>
        <v>92.673813259388737</v>
      </c>
      <c r="AA348">
        <f t="shared" si="100"/>
        <v>6.1782542172925821</v>
      </c>
      <c r="AB348">
        <f t="shared" si="101"/>
        <v>11.643491565414836</v>
      </c>
    </row>
    <row r="349" spans="10:28" x14ac:dyDescent="0.3">
      <c r="J349">
        <v>344</v>
      </c>
      <c r="K349">
        <f t="shared" si="85"/>
        <v>-0.39794863130761032</v>
      </c>
      <c r="L349">
        <f t="shared" si="86"/>
        <v>348.91170431211498</v>
      </c>
      <c r="M349">
        <f t="shared" si="87"/>
        <v>6.0896580389913035</v>
      </c>
      <c r="N349">
        <f t="shared" si="88"/>
        <v>0.98133197167042752</v>
      </c>
      <c r="O349">
        <f t="shared" si="89"/>
        <v>-0.39051971498464527</v>
      </c>
      <c r="P349">
        <f t="shared" si="90"/>
        <v>-0.40119606789619572</v>
      </c>
      <c r="Q349">
        <f t="shared" si="91"/>
        <v>-22.986841447696033</v>
      </c>
      <c r="R349">
        <f t="shared" si="92"/>
        <v>-0.42420380267161839</v>
      </c>
      <c r="S349">
        <f t="shared" si="93"/>
        <v>-7.0215916834084471E-2</v>
      </c>
      <c r="T349">
        <f t="shared" si="94"/>
        <v>1.6410700693107931</v>
      </c>
      <c r="U349">
        <f t="shared" si="95"/>
        <v>94.026388856749932</v>
      </c>
      <c r="V349">
        <f t="shared" si="96"/>
        <v>6.2684259237833286</v>
      </c>
      <c r="X349">
        <f t="shared" si="97"/>
        <v>-4.684423935849704E-2</v>
      </c>
      <c r="Y349">
        <f t="shared" si="98"/>
        <v>1.6176577154584768</v>
      </c>
      <c r="Z349">
        <f t="shared" si="99"/>
        <v>92.684959792545342</v>
      </c>
      <c r="AA349">
        <f t="shared" si="100"/>
        <v>6.178997319503023</v>
      </c>
      <c r="AB349">
        <f t="shared" si="101"/>
        <v>11.642005360993954</v>
      </c>
    </row>
    <row r="350" spans="10:28" x14ac:dyDescent="0.3">
      <c r="J350">
        <v>345</v>
      </c>
      <c r="K350">
        <f t="shared" si="85"/>
        <v>-0.39794863130761032</v>
      </c>
      <c r="L350">
        <f t="shared" si="86"/>
        <v>349.89733059548257</v>
      </c>
      <c r="M350">
        <f t="shared" si="87"/>
        <v>6.1068604628302623</v>
      </c>
      <c r="N350">
        <f t="shared" si="88"/>
        <v>0.98449500858808603</v>
      </c>
      <c r="O350">
        <f t="shared" si="89"/>
        <v>-0.39177844119680288</v>
      </c>
      <c r="P350">
        <f t="shared" si="90"/>
        <v>-0.40256376210580463</v>
      </c>
      <c r="Q350">
        <f t="shared" si="91"/>
        <v>-23.065204553571107</v>
      </c>
      <c r="R350">
        <f t="shared" si="92"/>
        <v>-0.425818549756113</v>
      </c>
      <c r="S350">
        <f t="shared" si="93"/>
        <v>-7.0483196255624048E-2</v>
      </c>
      <c r="T350">
        <f t="shared" si="94"/>
        <v>1.6413380125892238</v>
      </c>
      <c r="U350">
        <f t="shared" si="95"/>
        <v>94.041740875752922</v>
      </c>
      <c r="V350">
        <f t="shared" si="96"/>
        <v>6.2694493917168614</v>
      </c>
      <c r="X350">
        <f t="shared" si="97"/>
        <v>-4.7022553646235886E-2</v>
      </c>
      <c r="Y350">
        <f t="shared" si="98"/>
        <v>1.6178362264618367</v>
      </c>
      <c r="Z350">
        <f t="shared" si="99"/>
        <v>92.695187719634518</v>
      </c>
      <c r="AA350">
        <f t="shared" si="100"/>
        <v>6.179679181308968</v>
      </c>
      <c r="AB350">
        <f t="shared" si="101"/>
        <v>11.640641637382064</v>
      </c>
    </row>
    <row r="351" spans="10:28" x14ac:dyDescent="0.3">
      <c r="J351">
        <v>346</v>
      </c>
      <c r="K351">
        <f t="shared" si="85"/>
        <v>-0.39794863130761032</v>
      </c>
      <c r="L351">
        <f t="shared" si="86"/>
        <v>350.88295687885011</v>
      </c>
      <c r="M351">
        <f t="shared" si="87"/>
        <v>6.1240628866692202</v>
      </c>
      <c r="N351">
        <f t="shared" si="88"/>
        <v>0.98736671759370143</v>
      </c>
      <c r="O351">
        <f t="shared" si="89"/>
        <v>-0.3929212338651013</v>
      </c>
      <c r="P351">
        <f t="shared" si="90"/>
        <v>-0.4038061765597345</v>
      </c>
      <c r="Q351">
        <f t="shared" si="91"/>
        <v>-23.136389658187341</v>
      </c>
      <c r="R351">
        <f t="shared" si="92"/>
        <v>-0.42728701822328602</v>
      </c>
      <c r="S351">
        <f t="shared" si="93"/>
        <v>-7.072626305303395E-2</v>
      </c>
      <c r="T351">
        <f t="shared" si="94"/>
        <v>1.6415816875091984</v>
      </c>
      <c r="U351">
        <f t="shared" si="95"/>
        <v>94.05570242024065</v>
      </c>
      <c r="V351">
        <f t="shared" si="96"/>
        <v>6.2703801613493768</v>
      </c>
      <c r="X351">
        <f t="shared" si="97"/>
        <v>-4.7184714588531608E-2</v>
      </c>
      <c r="Y351">
        <f t="shared" si="98"/>
        <v>1.617998567601713</v>
      </c>
      <c r="Z351">
        <f t="shared" si="99"/>
        <v>92.704489181790777</v>
      </c>
      <c r="AA351">
        <f t="shared" si="100"/>
        <v>6.1802992787860518</v>
      </c>
      <c r="AB351">
        <f t="shared" si="101"/>
        <v>11.639401442427896</v>
      </c>
    </row>
    <row r="352" spans="10:28" x14ac:dyDescent="0.3">
      <c r="J352">
        <v>347</v>
      </c>
      <c r="K352">
        <f t="shared" si="85"/>
        <v>-0.39794863130761032</v>
      </c>
      <c r="L352">
        <f t="shared" si="86"/>
        <v>351.86858316221765</v>
      </c>
      <c r="M352">
        <f t="shared" si="87"/>
        <v>6.141265310508178</v>
      </c>
      <c r="N352">
        <f t="shared" si="88"/>
        <v>0.98994624890237792</v>
      </c>
      <c r="O352">
        <f t="shared" si="89"/>
        <v>-0.39394775481880423</v>
      </c>
      <c r="P352">
        <f t="shared" si="90"/>
        <v>-0.40492274595684119</v>
      </c>
      <c r="Q352">
        <f t="shared" si="91"/>
        <v>-23.20036437217502</v>
      </c>
      <c r="R352">
        <f t="shared" si="92"/>
        <v>-0.42860807519976413</v>
      </c>
      <c r="S352">
        <f t="shared" si="93"/>
        <v>-7.0944929708564336E-2</v>
      </c>
      <c r="T352">
        <f t="shared" si="94"/>
        <v>1.6418009048382092</v>
      </c>
      <c r="U352">
        <f t="shared" si="95"/>
        <v>94.068262647989087</v>
      </c>
      <c r="V352">
        <f t="shared" si="96"/>
        <v>6.2712175098659388</v>
      </c>
      <c r="X352">
        <f t="shared" si="97"/>
        <v>-4.7330597083744076E-2</v>
      </c>
      <c r="Y352">
        <f t="shared" si="98"/>
        <v>1.6181446132690842</v>
      </c>
      <c r="Z352">
        <f t="shared" si="99"/>
        <v>92.712856982147315</v>
      </c>
      <c r="AA352">
        <f t="shared" si="100"/>
        <v>6.1808571321431547</v>
      </c>
      <c r="AB352">
        <f t="shared" si="101"/>
        <v>11.638285735713691</v>
      </c>
    </row>
    <row r="353" spans="10:28" x14ac:dyDescent="0.3">
      <c r="J353">
        <v>348</v>
      </c>
      <c r="K353">
        <f t="shared" si="85"/>
        <v>-0.39794863130761032</v>
      </c>
      <c r="L353">
        <f t="shared" si="86"/>
        <v>352.85420944558524</v>
      </c>
      <c r="M353">
        <f t="shared" si="87"/>
        <v>6.1584677343471377</v>
      </c>
      <c r="N353">
        <f t="shared" si="88"/>
        <v>0.99223283918930083</v>
      </c>
      <c r="O353">
        <f t="shared" si="89"/>
        <v>-0.39485770029384648</v>
      </c>
      <c r="P353">
        <f t="shared" si="90"/>
        <v>-0.40591296056776083</v>
      </c>
      <c r="Q353">
        <f t="shared" si="91"/>
        <v>-23.257099490192903</v>
      </c>
      <c r="R353">
        <f t="shared" si="92"/>
        <v>-0.42978069512861289</v>
      </c>
      <c r="S353">
        <f t="shared" si="93"/>
        <v>-7.1139026467913216E-2</v>
      </c>
      <c r="T353">
        <f t="shared" si="94"/>
        <v>1.6419954932592493</v>
      </c>
      <c r="U353">
        <f t="shared" si="95"/>
        <v>94.079411743256799</v>
      </c>
      <c r="V353">
        <f t="shared" si="96"/>
        <v>6.2719607828837862</v>
      </c>
      <c r="X353">
        <f t="shared" si="97"/>
        <v>-4.7460087881039115E-2</v>
      </c>
      <c r="Y353">
        <f t="shared" si="98"/>
        <v>1.6182742497507425</v>
      </c>
      <c r="Z353">
        <f t="shared" si="99"/>
        <v>92.720284605417248</v>
      </c>
      <c r="AA353">
        <f t="shared" si="100"/>
        <v>6.1813523070278169</v>
      </c>
      <c r="AB353">
        <f t="shared" si="101"/>
        <v>11.637295385944366</v>
      </c>
    </row>
    <row r="354" spans="10:28" x14ac:dyDescent="0.3">
      <c r="J354">
        <v>349</v>
      </c>
      <c r="K354">
        <f t="shared" si="85"/>
        <v>-0.39794863130761032</v>
      </c>
      <c r="L354">
        <f t="shared" si="86"/>
        <v>353.83983572895278</v>
      </c>
      <c r="M354">
        <f t="shared" si="87"/>
        <v>6.1756701581860955</v>
      </c>
      <c r="N354">
        <f t="shared" si="88"/>
        <v>0.99422581181561609</v>
      </c>
      <c r="O354">
        <f t="shared" si="89"/>
        <v>-0.39565080102272215</v>
      </c>
      <c r="P354">
        <f t="shared" si="90"/>
        <v>-0.40677636700171466</v>
      </c>
      <c r="Q354">
        <f t="shared" si="91"/>
        <v>-23.3065690348629</v>
      </c>
      <c r="R354">
        <f t="shared" si="92"/>
        <v>-0.43080396257705372</v>
      </c>
      <c r="S354">
        <f t="shared" si="93"/>
        <v>-7.1308401804971125E-2</v>
      </c>
      <c r="T354">
        <f t="shared" si="94"/>
        <v>1.6421652998430192</v>
      </c>
      <c r="U354">
        <f t="shared" si="95"/>
        <v>94.089140943840349</v>
      </c>
      <c r="V354">
        <f t="shared" si="96"/>
        <v>6.2726093962560237</v>
      </c>
      <c r="X354">
        <f t="shared" si="97"/>
        <v>-4.7573085890440805E-2</v>
      </c>
      <c r="Y354">
        <f t="shared" si="98"/>
        <v>1.6183873755415503</v>
      </c>
      <c r="Z354">
        <f t="shared" si="99"/>
        <v>92.726766235784638</v>
      </c>
      <c r="AA354">
        <f t="shared" si="100"/>
        <v>6.1817844157189761</v>
      </c>
      <c r="AB354">
        <f t="shared" si="101"/>
        <v>11.636431168562048</v>
      </c>
    </row>
    <row r="355" spans="10:28" x14ac:dyDescent="0.3">
      <c r="J355">
        <v>350</v>
      </c>
      <c r="K355">
        <f t="shared" si="85"/>
        <v>-0.39794863130761032</v>
      </c>
      <c r="L355">
        <f t="shared" si="86"/>
        <v>354.82546201232032</v>
      </c>
      <c r="M355">
        <f t="shared" si="87"/>
        <v>6.1928725820250543</v>
      </c>
      <c r="N355">
        <f t="shared" si="88"/>
        <v>0.99592457702865989</v>
      </c>
      <c r="O355">
        <f t="shared" si="89"/>
        <v>-0.39632682231416594</v>
      </c>
      <c r="P355">
        <f t="shared" si="90"/>
        <v>-0.40751256889366022</v>
      </c>
      <c r="Q355">
        <f t="shared" si="91"/>
        <v>-23.348750296140924</v>
      </c>
      <c r="R355">
        <f t="shared" si="92"/>
        <v>-0.43167707476327033</v>
      </c>
      <c r="S355">
        <f t="shared" si="93"/>
        <v>-7.1452922840068184E-2</v>
      </c>
      <c r="T355">
        <f t="shared" si="94"/>
        <v>1.6423101904729283</v>
      </c>
      <c r="U355">
        <f t="shared" si="95"/>
        <v>94.097442565425141</v>
      </c>
      <c r="V355">
        <f t="shared" si="96"/>
        <v>6.2731628376950095</v>
      </c>
      <c r="X355">
        <f t="shared" si="97"/>
        <v>-4.7669502461863231E-2</v>
      </c>
      <c r="Y355">
        <f t="shared" si="98"/>
        <v>1.6184839016254642</v>
      </c>
      <c r="Z355">
        <f t="shared" si="99"/>
        <v>92.732296773005814</v>
      </c>
      <c r="AA355">
        <f t="shared" si="100"/>
        <v>6.1821531182003877</v>
      </c>
      <c r="AB355">
        <f t="shared" si="101"/>
        <v>11.635693763599225</v>
      </c>
    </row>
    <row r="356" spans="10:28" x14ac:dyDescent="0.3">
      <c r="J356">
        <v>351</v>
      </c>
      <c r="K356">
        <f t="shared" si="85"/>
        <v>-0.39794863130761032</v>
      </c>
      <c r="L356">
        <f t="shared" si="86"/>
        <v>355.81108829568791</v>
      </c>
      <c r="M356">
        <f t="shared" si="87"/>
        <v>6.210075005864014</v>
      </c>
      <c r="N356">
        <f t="shared" si="88"/>
        <v>0.99732863213647527</v>
      </c>
      <c r="O356">
        <f t="shared" si="89"/>
        <v>-0.39688556412260151</v>
      </c>
      <c r="P356">
        <f t="shared" si="90"/>
        <v>-0.40812122750895335</v>
      </c>
      <c r="Q356">
        <f t="shared" si="91"/>
        <v>-23.3836238659615</v>
      </c>
      <c r="R356">
        <f t="shared" si="92"/>
        <v>-0.43239934378821809</v>
      </c>
      <c r="S356">
        <f t="shared" si="93"/>
        <v>-7.1572475709392236E-2</v>
      </c>
      <c r="T356">
        <f t="shared" si="94"/>
        <v>1.6424300502205162</v>
      </c>
      <c r="U356">
        <f t="shared" si="95"/>
        <v>94.104310023095422</v>
      </c>
      <c r="V356">
        <f t="shared" si="96"/>
        <v>6.2736206682063616</v>
      </c>
      <c r="X356">
        <f t="shared" si="97"/>
        <v>-4.7749261631566085E-2</v>
      </c>
      <c r="Y356">
        <f t="shared" si="98"/>
        <v>1.6185637517237639</v>
      </c>
      <c r="Z356">
        <f t="shared" si="99"/>
        <v>92.736871846632084</v>
      </c>
      <c r="AA356">
        <f t="shared" si="100"/>
        <v>6.1824581231088054</v>
      </c>
      <c r="AB356">
        <f t="shared" si="101"/>
        <v>11.635083753782389</v>
      </c>
    </row>
    <row r="357" spans="10:28" x14ac:dyDescent="0.3">
      <c r="J357">
        <v>352</v>
      </c>
      <c r="K357">
        <f t="shared" si="85"/>
        <v>-0.39794863130761032</v>
      </c>
      <c r="L357">
        <f t="shared" si="86"/>
        <v>356.79671457905545</v>
      </c>
      <c r="M357">
        <f t="shared" si="87"/>
        <v>6.2272774297029718</v>
      </c>
      <c r="N357">
        <f t="shared" si="88"/>
        <v>0.99843756165656661</v>
      </c>
      <c r="O357">
        <f t="shared" si="89"/>
        <v>-0.39732686110733845</v>
      </c>
      <c r="P357">
        <f t="shared" si="90"/>
        <v>-0.40860206226301493</v>
      </c>
      <c r="Q357">
        <f t="shared" si="91"/>
        <v>-23.411173668012438</v>
      </c>
      <c r="R357">
        <f t="shared" si="92"/>
        <v>-0.432970198559889</v>
      </c>
      <c r="S357">
        <f t="shared" si="93"/>
        <v>-7.1666965883500869E-2</v>
      </c>
      <c r="T357">
        <f t="shared" si="94"/>
        <v>1.642524783669161</v>
      </c>
      <c r="U357">
        <f t="shared" si="95"/>
        <v>94.109737849881483</v>
      </c>
      <c r="V357">
        <f t="shared" si="96"/>
        <v>6.273982523325432</v>
      </c>
      <c r="X357">
        <f t="shared" si="97"/>
        <v>-4.7812300334648603E-2</v>
      </c>
      <c r="Y357">
        <f t="shared" si="98"/>
        <v>1.6186268625090785</v>
      </c>
      <c r="Z357">
        <f t="shared" si="99"/>
        <v>92.740487828272379</v>
      </c>
      <c r="AA357">
        <f t="shared" si="100"/>
        <v>6.1826991885514921</v>
      </c>
      <c r="AB357">
        <f t="shared" si="101"/>
        <v>11.634601622897016</v>
      </c>
    </row>
    <row r="358" spans="10:28" x14ac:dyDescent="0.3">
      <c r="J358">
        <v>353</v>
      </c>
      <c r="K358">
        <f t="shared" si="85"/>
        <v>-0.39794863130761032</v>
      </c>
      <c r="L358">
        <f t="shared" si="86"/>
        <v>357.78234086242298</v>
      </c>
      <c r="M358">
        <f t="shared" si="87"/>
        <v>6.2444798535419297</v>
      </c>
      <c r="N358">
        <f t="shared" si="88"/>
        <v>0.99925103743884802</v>
      </c>
      <c r="O358">
        <f t="shared" si="89"/>
        <v>-0.39765058268149928</v>
      </c>
      <c r="P358">
        <f t="shared" si="90"/>
        <v>-0.4089548511538274</v>
      </c>
      <c r="Q358">
        <f t="shared" si="91"/>
        <v>-23.431386982515093</v>
      </c>
      <c r="R358">
        <f t="shared" si="92"/>
        <v>-0.43338918639912177</v>
      </c>
      <c r="S358">
        <f t="shared" si="93"/>
        <v>-7.1736318433121532E-2</v>
      </c>
      <c r="T358">
        <f t="shared" si="94"/>
        <v>1.6425943151842355</v>
      </c>
      <c r="U358">
        <f t="shared" si="95"/>
        <v>94.113721712238416</v>
      </c>
      <c r="V358">
        <f t="shared" si="96"/>
        <v>6.2742481141492279</v>
      </c>
      <c r="X358">
        <f t="shared" si="97"/>
        <v>-4.7858568582376956E-2</v>
      </c>
      <c r="Y358">
        <f t="shared" si="98"/>
        <v>1.6186731837840005</v>
      </c>
      <c r="Z358">
        <f t="shared" si="99"/>
        <v>92.743141841827082</v>
      </c>
      <c r="AA358">
        <f t="shared" si="100"/>
        <v>6.1828761227884721</v>
      </c>
      <c r="AB358">
        <f t="shared" si="101"/>
        <v>11.634247754423056</v>
      </c>
    </row>
    <row r="359" spans="10:28" x14ac:dyDescent="0.3">
      <c r="J359">
        <v>354</v>
      </c>
      <c r="K359">
        <f t="shared" si="85"/>
        <v>-0.39794863130761032</v>
      </c>
      <c r="L359">
        <f t="shared" si="86"/>
        <v>358.76796714579058</v>
      </c>
      <c r="M359">
        <f t="shared" si="87"/>
        <v>6.2616822773808885</v>
      </c>
      <c r="N359">
        <f t="shared" si="88"/>
        <v>0.99976881876274803</v>
      </c>
      <c r="O359">
        <f t="shared" si="89"/>
        <v>-0.39785663305066188</v>
      </c>
      <c r="P359">
        <f t="shared" si="90"/>
        <v>-0.40917943110544353</v>
      </c>
      <c r="Q359">
        <f t="shared" si="91"/>
        <v>-23.444254465905949</v>
      </c>
      <c r="R359">
        <f t="shared" si="92"/>
        <v>-0.43365597431779418</v>
      </c>
      <c r="S359">
        <f t="shared" si="93"/>
        <v>-7.1780478240723131E-2</v>
      </c>
      <c r="T359">
        <f t="shared" si="94"/>
        <v>1.6426385891281552</v>
      </c>
      <c r="U359">
        <f t="shared" si="95"/>
        <v>94.116258422367409</v>
      </c>
      <c r="V359">
        <f t="shared" si="96"/>
        <v>6.2744172281578274</v>
      </c>
      <c r="X359">
        <f t="shared" si="97"/>
        <v>-4.7888029603333243E-2</v>
      </c>
      <c r="Y359">
        <f t="shared" si="98"/>
        <v>1.6187026786232601</v>
      </c>
      <c r="Z359">
        <f t="shared" si="99"/>
        <v>92.744831771634068</v>
      </c>
      <c r="AA359">
        <f t="shared" si="100"/>
        <v>6.1829887847756044</v>
      </c>
      <c r="AB359">
        <f t="shared" si="101"/>
        <v>11.634022430448791</v>
      </c>
    </row>
    <row r="360" spans="10:28" x14ac:dyDescent="0.3">
      <c r="J360">
        <v>355</v>
      </c>
      <c r="K360">
        <f t="shared" si="85"/>
        <v>-0.39794863130761032</v>
      </c>
      <c r="L360">
        <f t="shared" si="86"/>
        <v>359.75359342915812</v>
      </c>
      <c r="M360">
        <f t="shared" si="87"/>
        <v>6.2788847012198463</v>
      </c>
      <c r="N360">
        <f t="shared" si="88"/>
        <v>0.9999907524084426</v>
      </c>
      <c r="O360">
        <f t="shared" si="89"/>
        <v>-0.39794495124120716</v>
      </c>
      <c r="P360">
        <f t="shared" si="90"/>
        <v>-0.40927569822105864</v>
      </c>
      <c r="Q360">
        <f t="shared" si="91"/>
        <v>-23.449770165336595</v>
      </c>
      <c r="R360">
        <f t="shared" si="92"/>
        <v>-0.43377034996206665</v>
      </c>
      <c r="S360">
        <f t="shared" si="93"/>
        <v>-7.1799410156645385E-2</v>
      </c>
      <c r="T360">
        <f t="shared" si="94"/>
        <v>1.6426575700190817</v>
      </c>
      <c r="U360">
        <f t="shared" si="95"/>
        <v>94.117345947308891</v>
      </c>
      <c r="V360">
        <f t="shared" si="96"/>
        <v>6.2744897298205924</v>
      </c>
      <c r="X360">
        <f t="shared" si="97"/>
        <v>-4.7900659947576599E-2</v>
      </c>
      <c r="Y360">
        <f t="shared" si="98"/>
        <v>1.6187153234786462</v>
      </c>
      <c r="Z360">
        <f t="shared" si="99"/>
        <v>92.745556268480243</v>
      </c>
      <c r="AA360">
        <f t="shared" si="100"/>
        <v>6.18303708456535</v>
      </c>
      <c r="AB360">
        <f t="shared" si="101"/>
        <v>11.6339258308693</v>
      </c>
    </row>
    <row r="361" spans="10:28" x14ac:dyDescent="0.3">
      <c r="J361">
        <v>356</v>
      </c>
      <c r="K361">
        <f t="shared" si="85"/>
        <v>-0.39794863130761032</v>
      </c>
      <c r="L361">
        <f t="shared" si="86"/>
        <v>360.73921971252565</v>
      </c>
      <c r="M361">
        <f t="shared" si="87"/>
        <v>6.2960871250588042</v>
      </c>
      <c r="N361">
        <f t="shared" si="88"/>
        <v>0.99991677270219526</v>
      </c>
      <c r="O361">
        <f t="shared" si="89"/>
        <v>-0.39791551111836149</v>
      </c>
      <c r="P361">
        <f t="shared" si="90"/>
        <v>-0.4092436079445696</v>
      </c>
      <c r="Q361">
        <f t="shared" si="91"/>
        <v>-23.447931527930365</v>
      </c>
      <c r="R361">
        <f t="shared" si="92"/>
        <v>-0.4337322222152396</v>
      </c>
      <c r="S361">
        <f t="shared" si="93"/>
        <v>-7.1793099098886315E-2</v>
      </c>
      <c r="T361">
        <f t="shared" si="94"/>
        <v>1.6426512426323558</v>
      </c>
      <c r="U361">
        <f t="shared" si="95"/>
        <v>94.116983414754159</v>
      </c>
      <c r="V361">
        <f t="shared" si="96"/>
        <v>6.2744655609836109</v>
      </c>
      <c r="X361">
        <f t="shared" si="97"/>
        <v>-4.789644955321587E-2</v>
      </c>
      <c r="Y361">
        <f t="shared" si="98"/>
        <v>1.6187111082460646</v>
      </c>
      <c r="Z361">
        <f t="shared" si="99"/>
        <v>92.745314753443637</v>
      </c>
      <c r="AA361">
        <f t="shared" si="100"/>
        <v>6.1830209835629093</v>
      </c>
      <c r="AB361">
        <f t="shared" si="101"/>
        <v>11.633958032874181</v>
      </c>
    </row>
    <row r="362" spans="10:28" x14ac:dyDescent="0.3">
      <c r="J362">
        <v>357</v>
      </c>
      <c r="K362">
        <f t="shared" si="85"/>
        <v>-0.39794863130761032</v>
      </c>
      <c r="L362">
        <f t="shared" si="86"/>
        <v>361.72484599589325</v>
      </c>
      <c r="M362">
        <f t="shared" si="87"/>
        <v>6.3132895488977638</v>
      </c>
      <c r="N362">
        <f t="shared" si="88"/>
        <v>0.99954690153579129</v>
      </c>
      <c r="O362">
        <f t="shared" si="89"/>
        <v>-0.39776832139393087</v>
      </c>
      <c r="P362">
        <f t="shared" si="90"/>
        <v>-0.40908317512993858</v>
      </c>
      <c r="Q362">
        <f t="shared" si="91"/>
        <v>-23.438739404756603</v>
      </c>
      <c r="R362">
        <f t="shared" si="92"/>
        <v>-0.4335416214567463</v>
      </c>
      <c r="S362">
        <f t="shared" si="93"/>
        <v>-7.1761550095971682E-2</v>
      </c>
      <c r="T362">
        <f t="shared" si="94"/>
        <v>1.642619612044075</v>
      </c>
      <c r="U362">
        <f t="shared" si="95"/>
        <v>94.11517111554214</v>
      </c>
      <c r="V362">
        <f t="shared" si="96"/>
        <v>6.2743447410361428</v>
      </c>
      <c r="X362">
        <f t="shared" si="97"/>
        <v>-4.7875401775009881E-2</v>
      </c>
      <c r="Y362">
        <f t="shared" si="98"/>
        <v>1.6186900362943479</v>
      </c>
      <c r="Z362">
        <f t="shared" si="99"/>
        <v>92.744107419544179</v>
      </c>
      <c r="AA362">
        <f t="shared" si="100"/>
        <v>6.1829404946362789</v>
      </c>
      <c r="AB362">
        <f t="shared" si="101"/>
        <v>11.634119010727442</v>
      </c>
    </row>
    <row r="363" spans="10:28" x14ac:dyDescent="0.3">
      <c r="J363">
        <v>358</v>
      </c>
      <c r="K363">
        <f t="shared" si="85"/>
        <v>-0.39794863130761032</v>
      </c>
      <c r="L363">
        <f t="shared" si="86"/>
        <v>362.71047227926078</v>
      </c>
      <c r="M363">
        <f t="shared" si="87"/>
        <v>6.3304919727367217</v>
      </c>
      <c r="N363">
        <f t="shared" si="88"/>
        <v>0.99888124836005976</v>
      </c>
      <c r="O363">
        <f t="shared" si="89"/>
        <v>-0.39750342562372298</v>
      </c>
      <c r="P363">
        <f t="shared" si="90"/>
        <v>-0.40879447401806412</v>
      </c>
      <c r="Q363">
        <f t="shared" si="91"/>
        <v>-23.422198049505461</v>
      </c>
      <c r="R363">
        <f t="shared" si="92"/>
        <v>-0.43319869947578105</v>
      </c>
      <c r="S363">
        <f t="shared" si="93"/>
        <v>-7.1704788272658485E-2</v>
      </c>
      <c r="T363">
        <f t="shared" si="94"/>
        <v>1.6425627036165618</v>
      </c>
      <c r="U363">
        <f t="shared" si="95"/>
        <v>94.111910502826916</v>
      </c>
      <c r="V363">
        <f t="shared" si="96"/>
        <v>6.2741273668551276</v>
      </c>
      <c r="X363">
        <f t="shared" si="97"/>
        <v>-4.7837533374829454E-2</v>
      </c>
      <c r="Y363">
        <f t="shared" si="98"/>
        <v>1.6186521244556469</v>
      </c>
      <c r="Z363">
        <f t="shared" si="99"/>
        <v>92.741935231193025</v>
      </c>
      <c r="AA363">
        <f t="shared" si="100"/>
        <v>6.1827956820795347</v>
      </c>
      <c r="AB363">
        <f t="shared" si="101"/>
        <v>11.634408635840931</v>
      </c>
    </row>
    <row r="364" spans="10:28" x14ac:dyDescent="0.3">
      <c r="J364">
        <v>359</v>
      </c>
      <c r="K364">
        <f t="shared" si="85"/>
        <v>-0.39794863130761032</v>
      </c>
      <c r="L364">
        <f t="shared" si="86"/>
        <v>363.69609856262832</v>
      </c>
      <c r="M364">
        <f t="shared" si="87"/>
        <v>6.3476943965756805</v>
      </c>
      <c r="N364">
        <f t="shared" si="88"/>
        <v>0.99792001015248433</v>
      </c>
      <c r="O364">
        <f t="shared" si="89"/>
        <v>-0.39712090219465773</v>
      </c>
      <c r="P364">
        <f t="shared" si="90"/>
        <v>-0.40837763812125699</v>
      </c>
      <c r="Q364">
        <f t="shared" si="91"/>
        <v>-23.398315111868861</v>
      </c>
      <c r="R364">
        <f t="shared" si="92"/>
        <v>-0.43270372904006033</v>
      </c>
      <c r="S364">
        <f t="shared" si="93"/>
        <v>-7.1622858778554441E-2</v>
      </c>
      <c r="T364">
        <f t="shared" si="94"/>
        <v>1.6424805629258037</v>
      </c>
      <c r="U364">
        <f t="shared" si="95"/>
        <v>94.107204187920189</v>
      </c>
      <c r="V364">
        <f t="shared" si="96"/>
        <v>6.2738136125280128</v>
      </c>
      <c r="X364">
        <f t="shared" si="97"/>
        <v>-4.7782874474036362E-2</v>
      </c>
      <c r="Y364">
        <f t="shared" si="98"/>
        <v>1.6185974029774621</v>
      </c>
      <c r="Z364">
        <f t="shared" si="99"/>
        <v>92.738799921444325</v>
      </c>
      <c r="AA364">
        <f t="shared" si="100"/>
        <v>6.1825866614296219</v>
      </c>
      <c r="AB364">
        <f t="shared" si="101"/>
        <v>11.634826677140756</v>
      </c>
    </row>
    <row r="365" spans="10:28" x14ac:dyDescent="0.3">
      <c r="J365">
        <v>360</v>
      </c>
      <c r="K365">
        <f t="shared" si="85"/>
        <v>-0.39794863130761032</v>
      </c>
      <c r="L365">
        <f t="shared" si="86"/>
        <v>364.68172484599592</v>
      </c>
      <c r="M365">
        <f t="shared" si="87"/>
        <v>6.3648968204146401</v>
      </c>
      <c r="N365">
        <f t="shared" si="88"/>
        <v>0.99666347135891564</v>
      </c>
      <c r="O365">
        <f t="shared" si="89"/>
        <v>-0.39662086430157217</v>
      </c>
      <c r="P365">
        <f t="shared" si="90"/>
        <v>-0.40783286001581542</v>
      </c>
      <c r="Q365">
        <f t="shared" si="91"/>
        <v>-23.367101625655927</v>
      </c>
      <c r="R365">
        <f t="shared" si="92"/>
        <v>-0.43205710312221557</v>
      </c>
      <c r="S365">
        <f t="shared" si="93"/>
        <v>-7.1515826660067519E-2</v>
      </c>
      <c r="T365">
        <f t="shared" si="94"/>
        <v>1.6423732556312916</v>
      </c>
      <c r="U365">
        <f t="shared" si="95"/>
        <v>94.101055932833674</v>
      </c>
      <c r="V365">
        <f t="shared" si="96"/>
        <v>6.2734037288555786</v>
      </c>
      <c r="X365">
        <f t="shared" si="97"/>
        <v>-4.77114684680549E-2</v>
      </c>
      <c r="Y365">
        <f t="shared" si="98"/>
        <v>1.6185259154365925</v>
      </c>
      <c r="Z365">
        <f t="shared" si="99"/>
        <v>92.734703987064734</v>
      </c>
      <c r="AA365">
        <f t="shared" si="100"/>
        <v>6.1823135991376486</v>
      </c>
      <c r="AB365">
        <f t="shared" si="101"/>
        <v>11.635372801724703</v>
      </c>
    </row>
    <row r="366" spans="10:28" x14ac:dyDescent="0.3">
      <c r="J366">
        <v>361</v>
      </c>
      <c r="K366">
        <f t="shared" si="85"/>
        <v>-0.39794863130761032</v>
      </c>
      <c r="L366">
        <f t="shared" si="86"/>
        <v>365.66735112936345</v>
      </c>
      <c r="M366">
        <f t="shared" si="87"/>
        <v>6.382099244253598</v>
      </c>
      <c r="N366">
        <f t="shared" si="88"/>
        <v>0.99511200380939868</v>
      </c>
      <c r="O366">
        <f t="shared" si="89"/>
        <v>-0.39600345991372371</v>
      </c>
      <c r="P366">
        <f t="shared" si="90"/>
        <v>-0.40716039104357676</v>
      </c>
      <c r="Q366">
        <f t="shared" si="91"/>
        <v>-23.328571991693153</v>
      </c>
      <c r="R366">
        <f t="shared" si="92"/>
        <v>-0.43125933378827547</v>
      </c>
      <c r="S366">
        <f t="shared" si="93"/>
        <v>-7.1383776676423025E-2</v>
      </c>
      <c r="T366">
        <f t="shared" si="94"/>
        <v>1.6422408672890076</v>
      </c>
      <c r="U366">
        <f t="shared" si="95"/>
        <v>94.093470639564075</v>
      </c>
      <c r="V366">
        <f t="shared" si="96"/>
        <v>6.2728980426376051</v>
      </c>
      <c r="X366">
        <f t="shared" si="97"/>
        <v>-4.7623371903628559E-2</v>
      </c>
      <c r="Y366">
        <f t="shared" si="98"/>
        <v>1.6184377186154983</v>
      </c>
      <c r="Z366">
        <f t="shared" si="99"/>
        <v>92.72965068144957</v>
      </c>
      <c r="AA366">
        <f t="shared" si="100"/>
        <v>6.1819767120966382</v>
      </c>
      <c r="AB366">
        <f t="shared" si="101"/>
        <v>11.636046575806724</v>
      </c>
    </row>
    <row r="367" spans="10:28" x14ac:dyDescent="0.3">
      <c r="J367">
        <v>362</v>
      </c>
      <c r="K367">
        <f t="shared" si="85"/>
        <v>-0.39794863130761032</v>
      </c>
      <c r="L367">
        <f t="shared" si="86"/>
        <v>366.65297741273099</v>
      </c>
      <c r="M367">
        <f t="shared" si="87"/>
        <v>6.3993016680925559</v>
      </c>
      <c r="N367">
        <f t="shared" si="88"/>
        <v>0.99326606660814176</v>
      </c>
      <c r="O367">
        <f t="shared" si="89"/>
        <v>-0.39526887173100372</v>
      </c>
      <c r="P367">
        <f t="shared" si="90"/>
        <v>-0.40636054092370943</v>
      </c>
      <c r="Q367">
        <f t="shared" si="91"/>
        <v>-23.282743955581722</v>
      </c>
      <c r="R367">
        <f t="shared" si="92"/>
        <v>-0.4303110507546315</v>
      </c>
      <c r="S367">
        <f t="shared" si="93"/>
        <v>-7.1226813060806735E-2</v>
      </c>
      <c r="T367">
        <f t="shared" si="94"/>
        <v>1.6420835031086498</v>
      </c>
      <c r="U367">
        <f t="shared" si="95"/>
        <v>94.084454336183029</v>
      </c>
      <c r="V367">
        <f t="shared" si="96"/>
        <v>6.272296955745535</v>
      </c>
      <c r="X367">
        <f t="shared" si="97"/>
        <v>-4.751865431946771E-2</v>
      </c>
      <c r="Y367">
        <f t="shared" si="98"/>
        <v>1.6183328823417913</v>
      </c>
      <c r="Z367">
        <f t="shared" si="99"/>
        <v>92.72364400542628</v>
      </c>
      <c r="AA367">
        <f t="shared" si="100"/>
        <v>6.1815762670284187</v>
      </c>
      <c r="AB367">
        <f t="shared" si="101"/>
        <v>11.636847465943163</v>
      </c>
    </row>
    <row r="368" spans="10:28" x14ac:dyDescent="0.3">
      <c r="J368">
        <v>363</v>
      </c>
      <c r="K368">
        <f t="shared" si="85"/>
        <v>-0.39794863130761032</v>
      </c>
      <c r="L368">
        <f t="shared" si="86"/>
        <v>367.63860369609858</v>
      </c>
      <c r="M368">
        <f t="shared" si="87"/>
        <v>6.4165040919315146</v>
      </c>
      <c r="N368">
        <f t="shared" si="88"/>
        <v>0.9911262059976611</v>
      </c>
      <c r="O368">
        <f t="shared" si="89"/>
        <v>-0.39441731712987388</v>
      </c>
      <c r="P368">
        <f t="shared" si="90"/>
        <v>-0.40543367727638246</v>
      </c>
      <c r="Q368">
        <f t="shared" si="91"/>
        <v>-23.229638580405783</v>
      </c>
      <c r="R368">
        <f t="shared" si="92"/>
        <v>-0.42921299962174447</v>
      </c>
      <c r="S368">
        <f t="shared" si="93"/>
        <v>-7.1045059228000917E-2</v>
      </c>
      <c r="T368">
        <f t="shared" si="94"/>
        <v>1.6419012876564858</v>
      </c>
      <c r="U368">
        <f t="shared" si="95"/>
        <v>94.074014159811966</v>
      </c>
      <c r="V368">
        <f t="shared" si="96"/>
        <v>6.2716009439874645</v>
      </c>
      <c r="X368">
        <f t="shared" si="97"/>
        <v>-4.7397398051200239E-2</v>
      </c>
      <c r="Y368">
        <f t="shared" si="98"/>
        <v>1.6182114892917749</v>
      </c>
      <c r="Z368">
        <f t="shared" si="99"/>
        <v>92.716688695998116</v>
      </c>
      <c r="AA368">
        <f t="shared" si="100"/>
        <v>6.1811125797332078</v>
      </c>
      <c r="AB368">
        <f t="shared" si="101"/>
        <v>11.637774840533584</v>
      </c>
    </row>
    <row r="369" spans="10:28" x14ac:dyDescent="0.3">
      <c r="J369">
        <v>364</v>
      </c>
      <c r="K369">
        <f t="shared" si="85"/>
        <v>-0.39794863130761032</v>
      </c>
      <c r="L369">
        <f t="shared" si="86"/>
        <v>368.62422997946612</v>
      </c>
      <c r="M369">
        <f t="shared" si="87"/>
        <v>6.4337065157704725</v>
      </c>
      <c r="N369">
        <f t="shared" si="88"/>
        <v>0.98869305519713846</v>
      </c>
      <c r="O369">
        <f t="shared" si="89"/>
        <v>-0.39344904809904085</v>
      </c>
      <c r="P369">
        <f t="shared" si="90"/>
        <v>-0.4043802250603073</v>
      </c>
      <c r="Q369">
        <f t="shared" si="91"/>
        <v>-23.169280214505974</v>
      </c>
      <c r="R369">
        <f t="shared" si="92"/>
        <v>-0.42796603979463771</v>
      </c>
      <c r="S369">
        <f t="shared" si="93"/>
        <v>-7.0838657430176033E-2</v>
      </c>
      <c r="T369">
        <f t="shared" si="94"/>
        <v>1.6416943645055397</v>
      </c>
      <c r="U369">
        <f t="shared" si="95"/>
        <v>94.062158336579202</v>
      </c>
      <c r="V369">
        <f t="shared" si="96"/>
        <v>6.2708105557719467</v>
      </c>
      <c r="X369">
        <f t="shared" si="97"/>
        <v>-4.7259698001734546E-2</v>
      </c>
      <c r="Y369">
        <f t="shared" si="98"/>
        <v>1.6180736347591531</v>
      </c>
      <c r="Z369">
        <f t="shared" si="99"/>
        <v>92.708790213092129</v>
      </c>
      <c r="AA369">
        <f t="shared" si="100"/>
        <v>6.180586014206142</v>
      </c>
      <c r="AB369">
        <f t="shared" si="101"/>
        <v>11.638827971587716</v>
      </c>
    </row>
    <row r="370" spans="10:28" x14ac:dyDescent="0.3">
      <c r="J370">
        <v>365</v>
      </c>
      <c r="K370">
        <f t="shared" si="85"/>
        <v>-0.39794863130761032</v>
      </c>
      <c r="L370">
        <f t="shared" si="86"/>
        <v>369.60985626283366</v>
      </c>
      <c r="M370">
        <f t="shared" si="87"/>
        <v>6.4509089396094303</v>
      </c>
      <c r="N370">
        <f t="shared" si="88"/>
        <v>0.98596733421504135</v>
      </c>
      <c r="O370">
        <f t="shared" si="89"/>
        <v>-0.39236435116488888</v>
      </c>
      <c r="P370">
        <f t="shared" si="90"/>
        <v>-0.40320066592649745</v>
      </c>
      <c r="Q370">
        <f t="shared" si="91"/>
        <v>-23.101696454452565</v>
      </c>
      <c r="R370">
        <f t="shared" si="92"/>
        <v>-0.4265711421019226</v>
      </c>
      <c r="S370">
        <f t="shared" si="93"/>
        <v>-7.0607768362782264E-2</v>
      </c>
      <c r="T370">
        <f t="shared" si="94"/>
        <v>1.6414628958350994</v>
      </c>
      <c r="U370">
        <f t="shared" si="95"/>
        <v>94.048896158673472</v>
      </c>
      <c r="V370">
        <f t="shared" si="96"/>
        <v>6.2699264105782317</v>
      </c>
      <c r="X370">
        <f t="shared" si="97"/>
        <v>-4.7105661378331748E-2</v>
      </c>
      <c r="Y370">
        <f t="shared" si="98"/>
        <v>1.617919426390217</v>
      </c>
      <c r="Z370">
        <f t="shared" si="99"/>
        <v>92.699954724386501</v>
      </c>
      <c r="AA370">
        <f t="shared" si="100"/>
        <v>6.1799969816257665</v>
      </c>
      <c r="AB370">
        <f t="shared" si="101"/>
        <v>11.640006036748467</v>
      </c>
    </row>
    <row r="371" spans="10:28" x14ac:dyDescent="0.3">
      <c r="J371">
        <v>366</v>
      </c>
      <c r="V371">
        <f t="shared" si="96"/>
        <v>0</v>
      </c>
      <c r="X371">
        <f t="shared" si="97"/>
        <v>0</v>
      </c>
      <c r="Y371">
        <f t="shared" si="98"/>
        <v>1.5707963267948966</v>
      </c>
      <c r="Z371">
        <f t="shared" si="99"/>
        <v>90</v>
      </c>
      <c r="AA371">
        <f t="shared" si="100"/>
        <v>6</v>
      </c>
      <c r="AB371">
        <f t="shared" si="101"/>
        <v>12</v>
      </c>
    </row>
    <row r="372" spans="10:28" x14ac:dyDescent="0.3">
      <c r="J372">
        <v>367</v>
      </c>
      <c r="V372">
        <f t="shared" si="96"/>
        <v>0</v>
      </c>
      <c r="X372">
        <f t="shared" si="97"/>
        <v>0</v>
      </c>
      <c r="Y372">
        <f t="shared" si="98"/>
        <v>1.5707963267948966</v>
      </c>
      <c r="Z372">
        <f t="shared" si="99"/>
        <v>90</v>
      </c>
      <c r="AA372">
        <f t="shared" si="100"/>
        <v>6</v>
      </c>
      <c r="AB372">
        <f t="shared" si="101"/>
        <v>12</v>
      </c>
    </row>
    <row r="373" spans="10:28" x14ac:dyDescent="0.3">
      <c r="J373">
        <v>368</v>
      </c>
      <c r="V373">
        <f t="shared" si="96"/>
        <v>0</v>
      </c>
      <c r="X373">
        <f t="shared" si="97"/>
        <v>0</v>
      </c>
      <c r="Y373">
        <f t="shared" si="98"/>
        <v>1.5707963267948966</v>
      </c>
      <c r="Z373">
        <f t="shared" si="99"/>
        <v>90</v>
      </c>
      <c r="AA373">
        <f t="shared" si="100"/>
        <v>6</v>
      </c>
      <c r="AB373">
        <f t="shared" si="101"/>
        <v>12</v>
      </c>
    </row>
    <row r="374" spans="10:28" x14ac:dyDescent="0.3">
      <c r="J374">
        <v>369</v>
      </c>
      <c r="V374">
        <f t="shared" si="96"/>
        <v>0</v>
      </c>
      <c r="X374">
        <f t="shared" si="97"/>
        <v>0</v>
      </c>
      <c r="Y374">
        <f t="shared" si="98"/>
        <v>1.5707963267948966</v>
      </c>
      <c r="Z374">
        <f t="shared" si="99"/>
        <v>90</v>
      </c>
      <c r="AA374">
        <f t="shared" si="100"/>
        <v>6</v>
      </c>
      <c r="AB374">
        <f t="shared" si="101"/>
        <v>12</v>
      </c>
    </row>
    <row r="375" spans="10:28" x14ac:dyDescent="0.3">
      <c r="J375">
        <v>370</v>
      </c>
      <c r="V375">
        <f t="shared" si="96"/>
        <v>0</v>
      </c>
      <c r="X375">
        <f t="shared" si="97"/>
        <v>0</v>
      </c>
      <c r="Y375">
        <f t="shared" si="98"/>
        <v>1.5707963267948966</v>
      </c>
      <c r="Z375">
        <f t="shared" si="99"/>
        <v>90</v>
      </c>
      <c r="AA375">
        <f t="shared" si="100"/>
        <v>6</v>
      </c>
      <c r="AB375">
        <f t="shared" si="101"/>
        <v>12</v>
      </c>
    </row>
    <row r="376" spans="10:28" x14ac:dyDescent="0.3">
      <c r="J376">
        <v>371</v>
      </c>
      <c r="V376">
        <f t="shared" si="96"/>
        <v>0</v>
      </c>
      <c r="X376">
        <f t="shared" si="97"/>
        <v>0</v>
      </c>
      <c r="Y376">
        <f t="shared" si="98"/>
        <v>1.5707963267948966</v>
      </c>
      <c r="Z376">
        <f t="shared" si="99"/>
        <v>90</v>
      </c>
      <c r="AA376">
        <f t="shared" si="100"/>
        <v>6</v>
      </c>
      <c r="AB376">
        <f t="shared" si="101"/>
        <v>12</v>
      </c>
    </row>
    <row r="377" spans="10:28" x14ac:dyDescent="0.3">
      <c r="J377">
        <v>372</v>
      </c>
      <c r="V377">
        <f t="shared" si="96"/>
        <v>0</v>
      </c>
      <c r="X377">
        <f t="shared" si="97"/>
        <v>0</v>
      </c>
      <c r="Y377">
        <f t="shared" si="98"/>
        <v>1.5707963267948966</v>
      </c>
      <c r="Z377">
        <f t="shared" si="99"/>
        <v>90</v>
      </c>
      <c r="AA377">
        <f t="shared" si="100"/>
        <v>6</v>
      </c>
      <c r="AB377">
        <f t="shared" si="101"/>
        <v>12</v>
      </c>
    </row>
    <row r="378" spans="10:28" x14ac:dyDescent="0.3">
      <c r="J378">
        <v>373</v>
      </c>
      <c r="V378">
        <f t="shared" si="96"/>
        <v>0</v>
      </c>
      <c r="X378">
        <f t="shared" si="97"/>
        <v>0</v>
      </c>
      <c r="Y378">
        <f t="shared" si="98"/>
        <v>1.5707963267948966</v>
      </c>
      <c r="Z378">
        <f t="shared" si="99"/>
        <v>90</v>
      </c>
      <c r="AA378">
        <f t="shared" si="100"/>
        <v>6</v>
      </c>
      <c r="AB378">
        <f t="shared" si="101"/>
        <v>12</v>
      </c>
    </row>
    <row r="379" spans="10:28" x14ac:dyDescent="0.3">
      <c r="J379">
        <v>374</v>
      </c>
      <c r="V379">
        <f t="shared" si="96"/>
        <v>0</v>
      </c>
      <c r="X379">
        <f t="shared" si="97"/>
        <v>0</v>
      </c>
      <c r="Y379">
        <f t="shared" si="98"/>
        <v>1.5707963267948966</v>
      </c>
      <c r="Z379">
        <f t="shared" si="99"/>
        <v>90</v>
      </c>
      <c r="AA379">
        <f t="shared" si="100"/>
        <v>6</v>
      </c>
      <c r="AB379">
        <f t="shared" si="101"/>
        <v>12</v>
      </c>
    </row>
    <row r="380" spans="10:28" x14ac:dyDescent="0.3">
      <c r="J380">
        <v>375</v>
      </c>
      <c r="V380">
        <f t="shared" si="96"/>
        <v>0</v>
      </c>
      <c r="X380">
        <f t="shared" si="97"/>
        <v>0</v>
      </c>
      <c r="Y380">
        <f t="shared" si="98"/>
        <v>1.5707963267948966</v>
      </c>
      <c r="Z380">
        <f t="shared" si="99"/>
        <v>90</v>
      </c>
      <c r="AA380">
        <f t="shared" si="100"/>
        <v>6</v>
      </c>
      <c r="AB380">
        <f t="shared" si="101"/>
        <v>12</v>
      </c>
    </row>
    <row r="381" spans="10:28" x14ac:dyDescent="0.3">
      <c r="J381">
        <v>376</v>
      </c>
      <c r="V381">
        <f t="shared" si="96"/>
        <v>0</v>
      </c>
      <c r="X381">
        <f t="shared" si="97"/>
        <v>0</v>
      </c>
      <c r="Y381">
        <f t="shared" si="98"/>
        <v>1.5707963267948966</v>
      </c>
      <c r="Z381">
        <f t="shared" si="99"/>
        <v>90</v>
      </c>
      <c r="AA381">
        <f t="shared" si="100"/>
        <v>6</v>
      </c>
      <c r="AB381">
        <f t="shared" si="101"/>
        <v>12</v>
      </c>
    </row>
    <row r="382" spans="10:28" x14ac:dyDescent="0.3">
      <c r="J382">
        <v>377</v>
      </c>
      <c r="V382">
        <f t="shared" si="96"/>
        <v>0</v>
      </c>
      <c r="X382">
        <f t="shared" si="97"/>
        <v>0</v>
      </c>
      <c r="Y382">
        <f t="shared" si="98"/>
        <v>1.5707963267948966</v>
      </c>
      <c r="Z382">
        <f t="shared" si="99"/>
        <v>90</v>
      </c>
      <c r="AA382">
        <f t="shared" si="100"/>
        <v>6</v>
      </c>
      <c r="AB382">
        <f t="shared" si="101"/>
        <v>12</v>
      </c>
    </row>
    <row r="383" spans="10:28" x14ac:dyDescent="0.3">
      <c r="J383">
        <v>378</v>
      </c>
      <c r="V383">
        <f t="shared" si="96"/>
        <v>0</v>
      </c>
      <c r="X383">
        <f t="shared" si="97"/>
        <v>0</v>
      </c>
      <c r="Y383">
        <f t="shared" si="98"/>
        <v>1.5707963267948966</v>
      </c>
      <c r="Z383">
        <f t="shared" si="99"/>
        <v>90</v>
      </c>
      <c r="AA383">
        <f t="shared" si="100"/>
        <v>6</v>
      </c>
      <c r="AB383">
        <f t="shared" si="101"/>
        <v>12</v>
      </c>
    </row>
    <row r="384" spans="10:28" x14ac:dyDescent="0.3">
      <c r="J384">
        <v>379</v>
      </c>
      <c r="V384">
        <f t="shared" si="96"/>
        <v>0</v>
      </c>
      <c r="X384">
        <f t="shared" si="97"/>
        <v>0</v>
      </c>
      <c r="Y384">
        <f t="shared" si="98"/>
        <v>1.5707963267948966</v>
      </c>
      <c r="Z384">
        <f t="shared" si="99"/>
        <v>90</v>
      </c>
      <c r="AA384">
        <f t="shared" si="100"/>
        <v>6</v>
      </c>
      <c r="AB384">
        <f t="shared" si="101"/>
        <v>12</v>
      </c>
    </row>
    <row r="385" spans="10:28" x14ac:dyDescent="0.3">
      <c r="J385">
        <v>380</v>
      </c>
      <c r="V385">
        <f t="shared" si="96"/>
        <v>0</v>
      </c>
      <c r="X385">
        <f t="shared" si="97"/>
        <v>0</v>
      </c>
      <c r="Y385">
        <f t="shared" si="98"/>
        <v>1.5707963267948966</v>
      </c>
      <c r="Z385">
        <f t="shared" si="99"/>
        <v>90</v>
      </c>
      <c r="AA385">
        <f t="shared" si="100"/>
        <v>6</v>
      </c>
      <c r="AB385">
        <f t="shared" si="101"/>
        <v>12</v>
      </c>
    </row>
    <row r="386" spans="10:28" x14ac:dyDescent="0.3">
      <c r="J386">
        <v>381</v>
      </c>
      <c r="V386">
        <f t="shared" si="96"/>
        <v>0</v>
      </c>
      <c r="X386">
        <f t="shared" si="97"/>
        <v>0</v>
      </c>
      <c r="Y386">
        <f t="shared" si="98"/>
        <v>1.5707963267948966</v>
      </c>
      <c r="Z386">
        <f t="shared" si="99"/>
        <v>90</v>
      </c>
      <c r="AA386">
        <f t="shared" si="100"/>
        <v>6</v>
      </c>
      <c r="AB386">
        <f t="shared" si="101"/>
        <v>12</v>
      </c>
    </row>
    <row r="387" spans="10:28" x14ac:dyDescent="0.3">
      <c r="J387">
        <v>382</v>
      </c>
      <c r="V387">
        <f t="shared" si="96"/>
        <v>0</v>
      </c>
      <c r="X387">
        <f t="shared" si="97"/>
        <v>0</v>
      </c>
      <c r="Y387">
        <f t="shared" si="98"/>
        <v>1.5707963267948966</v>
      </c>
      <c r="Z387">
        <f t="shared" si="99"/>
        <v>90</v>
      </c>
      <c r="AA387">
        <f t="shared" si="100"/>
        <v>6</v>
      </c>
      <c r="AB387">
        <f t="shared" si="101"/>
        <v>12</v>
      </c>
    </row>
    <row r="388" spans="10:28" x14ac:dyDescent="0.3">
      <c r="J388">
        <v>383</v>
      </c>
      <c r="V388">
        <f t="shared" si="96"/>
        <v>0</v>
      </c>
      <c r="X388">
        <f t="shared" si="97"/>
        <v>0</v>
      </c>
      <c r="Y388">
        <f t="shared" si="98"/>
        <v>1.5707963267948966</v>
      </c>
      <c r="Z388">
        <f t="shared" si="99"/>
        <v>90</v>
      </c>
      <c r="AA388">
        <f t="shared" si="100"/>
        <v>6</v>
      </c>
      <c r="AB388">
        <f t="shared" si="101"/>
        <v>12</v>
      </c>
    </row>
    <row r="389" spans="10:28" x14ac:dyDescent="0.3">
      <c r="J389">
        <v>384</v>
      </c>
      <c r="V389">
        <f t="shared" si="96"/>
        <v>0</v>
      </c>
      <c r="X389">
        <f t="shared" si="97"/>
        <v>0</v>
      </c>
      <c r="Y389">
        <f t="shared" si="98"/>
        <v>1.5707963267948966</v>
      </c>
      <c r="Z389">
        <f t="shared" si="99"/>
        <v>90</v>
      </c>
      <c r="AA389">
        <f t="shared" si="100"/>
        <v>6</v>
      </c>
      <c r="AB389">
        <f t="shared" si="101"/>
        <v>12</v>
      </c>
    </row>
    <row r="390" spans="10:28" x14ac:dyDescent="0.3">
      <c r="J390">
        <v>385</v>
      </c>
      <c r="V390">
        <f t="shared" si="96"/>
        <v>0</v>
      </c>
      <c r="X390">
        <f t="shared" si="97"/>
        <v>0</v>
      </c>
      <c r="Y390">
        <f t="shared" si="98"/>
        <v>1.5707963267948966</v>
      </c>
      <c r="Z390">
        <f t="shared" si="99"/>
        <v>90</v>
      </c>
      <c r="AA390">
        <f t="shared" si="100"/>
        <v>6</v>
      </c>
      <c r="AB390">
        <f t="shared" si="101"/>
        <v>12</v>
      </c>
    </row>
    <row r="391" spans="10:28" x14ac:dyDescent="0.3">
      <c r="J391">
        <v>386</v>
      </c>
      <c r="V391">
        <f t="shared" ref="V391:V417" si="102">U391/15</f>
        <v>0</v>
      </c>
      <c r="X391">
        <f t="shared" ref="X391:X417" si="103">TAN(0.109983)*TAN(P391)</f>
        <v>0</v>
      </c>
      <c r="Y391">
        <f t="shared" ref="Y391:Y417" si="104">ACOS(X391)</f>
        <v>1.5707963267948966</v>
      </c>
      <c r="Z391">
        <f t="shared" ref="Z391:Z417" si="105">Y391*180/PI()</f>
        <v>90</v>
      </c>
      <c r="AA391">
        <f t="shared" ref="AA391:AA417" si="106">Z391/15</f>
        <v>6</v>
      </c>
      <c r="AB391">
        <f t="shared" ref="AB391:AB417" si="107">24-2*AA391</f>
        <v>12</v>
      </c>
    </row>
    <row r="392" spans="10:28" x14ac:dyDescent="0.3">
      <c r="J392">
        <v>387</v>
      </c>
      <c r="V392">
        <f t="shared" si="102"/>
        <v>0</v>
      </c>
      <c r="X392">
        <f t="shared" si="103"/>
        <v>0</v>
      </c>
      <c r="Y392">
        <f t="shared" si="104"/>
        <v>1.5707963267948966</v>
      </c>
      <c r="Z392">
        <f t="shared" si="105"/>
        <v>90</v>
      </c>
      <c r="AA392">
        <f t="shared" si="106"/>
        <v>6</v>
      </c>
      <c r="AB392">
        <f t="shared" si="107"/>
        <v>12</v>
      </c>
    </row>
    <row r="393" spans="10:28" x14ac:dyDescent="0.3">
      <c r="J393">
        <v>388</v>
      </c>
      <c r="V393">
        <f t="shared" si="102"/>
        <v>0</v>
      </c>
      <c r="X393">
        <f t="shared" si="103"/>
        <v>0</v>
      </c>
      <c r="Y393">
        <f t="shared" si="104"/>
        <v>1.5707963267948966</v>
      </c>
      <c r="Z393">
        <f t="shared" si="105"/>
        <v>90</v>
      </c>
      <c r="AA393">
        <f t="shared" si="106"/>
        <v>6</v>
      </c>
      <c r="AB393">
        <f t="shared" si="107"/>
        <v>12</v>
      </c>
    </row>
    <row r="394" spans="10:28" x14ac:dyDescent="0.3">
      <c r="J394">
        <v>389</v>
      </c>
      <c r="V394">
        <f t="shared" si="102"/>
        <v>0</v>
      </c>
      <c r="X394">
        <f t="shared" si="103"/>
        <v>0</v>
      </c>
      <c r="Y394">
        <f t="shared" si="104"/>
        <v>1.5707963267948966</v>
      </c>
      <c r="Z394">
        <f t="shared" si="105"/>
        <v>90</v>
      </c>
      <c r="AA394">
        <f t="shared" si="106"/>
        <v>6</v>
      </c>
      <c r="AB394">
        <f t="shared" si="107"/>
        <v>12</v>
      </c>
    </row>
    <row r="395" spans="10:28" x14ac:dyDescent="0.3">
      <c r="J395">
        <v>390</v>
      </c>
      <c r="V395">
        <f t="shared" si="102"/>
        <v>0</v>
      </c>
      <c r="X395">
        <f t="shared" si="103"/>
        <v>0</v>
      </c>
      <c r="Y395">
        <f t="shared" si="104"/>
        <v>1.5707963267948966</v>
      </c>
      <c r="Z395">
        <f t="shared" si="105"/>
        <v>90</v>
      </c>
      <c r="AA395">
        <f t="shared" si="106"/>
        <v>6</v>
      </c>
      <c r="AB395">
        <f t="shared" si="107"/>
        <v>12</v>
      </c>
    </row>
    <row r="396" spans="10:28" x14ac:dyDescent="0.3">
      <c r="J396">
        <v>391</v>
      </c>
      <c r="V396">
        <f t="shared" si="102"/>
        <v>0</v>
      </c>
      <c r="X396">
        <f t="shared" si="103"/>
        <v>0</v>
      </c>
      <c r="Y396">
        <f t="shared" si="104"/>
        <v>1.5707963267948966</v>
      </c>
      <c r="Z396">
        <f t="shared" si="105"/>
        <v>90</v>
      </c>
      <c r="AA396">
        <f t="shared" si="106"/>
        <v>6</v>
      </c>
      <c r="AB396">
        <f t="shared" si="107"/>
        <v>12</v>
      </c>
    </row>
    <row r="397" spans="10:28" x14ac:dyDescent="0.3">
      <c r="J397">
        <v>392</v>
      </c>
      <c r="V397">
        <f t="shared" si="102"/>
        <v>0</v>
      </c>
      <c r="X397">
        <f t="shared" si="103"/>
        <v>0</v>
      </c>
      <c r="Y397">
        <f t="shared" si="104"/>
        <v>1.5707963267948966</v>
      </c>
      <c r="Z397">
        <f t="shared" si="105"/>
        <v>90</v>
      </c>
      <c r="AA397">
        <f t="shared" si="106"/>
        <v>6</v>
      </c>
      <c r="AB397">
        <f t="shared" si="107"/>
        <v>12</v>
      </c>
    </row>
    <row r="398" spans="10:28" x14ac:dyDescent="0.3">
      <c r="J398">
        <v>393</v>
      </c>
      <c r="V398">
        <f t="shared" si="102"/>
        <v>0</v>
      </c>
      <c r="X398">
        <f t="shared" si="103"/>
        <v>0</v>
      </c>
      <c r="Y398">
        <f t="shared" si="104"/>
        <v>1.5707963267948966</v>
      </c>
      <c r="Z398">
        <f t="shared" si="105"/>
        <v>90</v>
      </c>
      <c r="AA398">
        <f t="shared" si="106"/>
        <v>6</v>
      </c>
      <c r="AB398">
        <f t="shared" si="107"/>
        <v>12</v>
      </c>
    </row>
    <row r="399" spans="10:28" x14ac:dyDescent="0.3">
      <c r="J399">
        <v>394</v>
      </c>
      <c r="V399">
        <f t="shared" si="102"/>
        <v>0</v>
      </c>
      <c r="X399">
        <f t="shared" si="103"/>
        <v>0</v>
      </c>
      <c r="Y399">
        <f t="shared" si="104"/>
        <v>1.5707963267948966</v>
      </c>
      <c r="Z399">
        <f t="shared" si="105"/>
        <v>90</v>
      </c>
      <c r="AA399">
        <f t="shared" si="106"/>
        <v>6</v>
      </c>
      <c r="AB399">
        <f t="shared" si="107"/>
        <v>12</v>
      </c>
    </row>
    <row r="400" spans="10:28" x14ac:dyDescent="0.3">
      <c r="J400">
        <v>395</v>
      </c>
      <c r="V400">
        <f t="shared" si="102"/>
        <v>0</v>
      </c>
      <c r="X400">
        <f t="shared" si="103"/>
        <v>0</v>
      </c>
      <c r="Y400">
        <f t="shared" si="104"/>
        <v>1.5707963267948966</v>
      </c>
      <c r="Z400">
        <f t="shared" si="105"/>
        <v>90</v>
      </c>
      <c r="AA400">
        <f t="shared" si="106"/>
        <v>6</v>
      </c>
      <c r="AB400">
        <f t="shared" si="107"/>
        <v>12</v>
      </c>
    </row>
    <row r="401" spans="10:28" x14ac:dyDescent="0.3">
      <c r="J401">
        <v>396</v>
      </c>
      <c r="V401">
        <f t="shared" si="102"/>
        <v>0</v>
      </c>
      <c r="X401">
        <f t="shared" si="103"/>
        <v>0</v>
      </c>
      <c r="Y401">
        <f t="shared" si="104"/>
        <v>1.5707963267948966</v>
      </c>
      <c r="Z401">
        <f t="shared" si="105"/>
        <v>90</v>
      </c>
      <c r="AA401">
        <f t="shared" si="106"/>
        <v>6</v>
      </c>
      <c r="AB401">
        <f t="shared" si="107"/>
        <v>12</v>
      </c>
    </row>
    <row r="402" spans="10:28" x14ac:dyDescent="0.3">
      <c r="J402">
        <v>397</v>
      </c>
      <c r="V402">
        <f t="shared" si="102"/>
        <v>0</v>
      </c>
      <c r="X402">
        <f t="shared" si="103"/>
        <v>0</v>
      </c>
      <c r="Y402">
        <f t="shared" si="104"/>
        <v>1.5707963267948966</v>
      </c>
      <c r="Z402">
        <f t="shared" si="105"/>
        <v>90</v>
      </c>
      <c r="AA402">
        <f t="shared" si="106"/>
        <v>6</v>
      </c>
      <c r="AB402">
        <f t="shared" si="107"/>
        <v>12</v>
      </c>
    </row>
    <row r="403" spans="10:28" x14ac:dyDescent="0.3">
      <c r="J403">
        <v>398</v>
      </c>
      <c r="V403">
        <f t="shared" si="102"/>
        <v>0</v>
      </c>
      <c r="X403">
        <f t="shared" si="103"/>
        <v>0</v>
      </c>
      <c r="Y403">
        <f t="shared" si="104"/>
        <v>1.5707963267948966</v>
      </c>
      <c r="Z403">
        <f t="shared" si="105"/>
        <v>90</v>
      </c>
      <c r="AA403">
        <f t="shared" si="106"/>
        <v>6</v>
      </c>
      <c r="AB403">
        <f t="shared" si="107"/>
        <v>12</v>
      </c>
    </row>
    <row r="404" spans="10:28" x14ac:dyDescent="0.3">
      <c r="J404">
        <v>399</v>
      </c>
      <c r="V404">
        <f t="shared" si="102"/>
        <v>0</v>
      </c>
      <c r="X404">
        <f t="shared" si="103"/>
        <v>0</v>
      </c>
      <c r="Y404">
        <f t="shared" si="104"/>
        <v>1.5707963267948966</v>
      </c>
      <c r="Z404">
        <f t="shared" si="105"/>
        <v>90</v>
      </c>
      <c r="AA404">
        <f t="shared" si="106"/>
        <v>6</v>
      </c>
      <c r="AB404">
        <f t="shared" si="107"/>
        <v>12</v>
      </c>
    </row>
    <row r="405" spans="10:28" x14ac:dyDescent="0.3">
      <c r="J405">
        <v>400</v>
      </c>
      <c r="V405">
        <f t="shared" si="102"/>
        <v>0</v>
      </c>
      <c r="X405">
        <f t="shared" si="103"/>
        <v>0</v>
      </c>
      <c r="Y405">
        <f t="shared" si="104"/>
        <v>1.5707963267948966</v>
      </c>
      <c r="Z405">
        <f t="shared" si="105"/>
        <v>90</v>
      </c>
      <c r="AA405">
        <f t="shared" si="106"/>
        <v>6</v>
      </c>
      <c r="AB405">
        <f t="shared" si="107"/>
        <v>12</v>
      </c>
    </row>
    <row r="406" spans="10:28" x14ac:dyDescent="0.3">
      <c r="J406">
        <v>401</v>
      </c>
      <c r="V406">
        <f t="shared" si="102"/>
        <v>0</v>
      </c>
      <c r="X406">
        <f t="shared" si="103"/>
        <v>0</v>
      </c>
      <c r="Y406">
        <f t="shared" si="104"/>
        <v>1.5707963267948966</v>
      </c>
      <c r="Z406">
        <f t="shared" si="105"/>
        <v>90</v>
      </c>
      <c r="AA406">
        <f t="shared" si="106"/>
        <v>6</v>
      </c>
      <c r="AB406">
        <f t="shared" si="107"/>
        <v>12</v>
      </c>
    </row>
    <row r="407" spans="10:28" x14ac:dyDescent="0.3">
      <c r="J407">
        <v>402</v>
      </c>
      <c r="V407">
        <f t="shared" si="102"/>
        <v>0</v>
      </c>
      <c r="X407">
        <f t="shared" si="103"/>
        <v>0</v>
      </c>
      <c r="Y407">
        <f t="shared" si="104"/>
        <v>1.5707963267948966</v>
      </c>
      <c r="Z407">
        <f t="shared" si="105"/>
        <v>90</v>
      </c>
      <c r="AA407">
        <f t="shared" si="106"/>
        <v>6</v>
      </c>
      <c r="AB407">
        <f t="shared" si="107"/>
        <v>12</v>
      </c>
    </row>
    <row r="408" spans="10:28" x14ac:dyDescent="0.3">
      <c r="J408">
        <v>403</v>
      </c>
      <c r="V408">
        <f t="shared" si="102"/>
        <v>0</v>
      </c>
      <c r="X408">
        <f t="shared" si="103"/>
        <v>0</v>
      </c>
      <c r="Y408">
        <f t="shared" si="104"/>
        <v>1.5707963267948966</v>
      </c>
      <c r="Z408">
        <f t="shared" si="105"/>
        <v>90</v>
      </c>
      <c r="AA408">
        <f t="shared" si="106"/>
        <v>6</v>
      </c>
      <c r="AB408">
        <f t="shared" si="107"/>
        <v>12</v>
      </c>
    </row>
    <row r="409" spans="10:28" x14ac:dyDescent="0.3">
      <c r="J409">
        <v>404</v>
      </c>
      <c r="V409">
        <f t="shared" si="102"/>
        <v>0</v>
      </c>
      <c r="X409">
        <f t="shared" si="103"/>
        <v>0</v>
      </c>
      <c r="Y409">
        <f t="shared" si="104"/>
        <v>1.5707963267948966</v>
      </c>
      <c r="Z409">
        <f t="shared" si="105"/>
        <v>90</v>
      </c>
      <c r="AA409">
        <f t="shared" si="106"/>
        <v>6</v>
      </c>
      <c r="AB409">
        <f t="shared" si="107"/>
        <v>12</v>
      </c>
    </row>
    <row r="410" spans="10:28" x14ac:dyDescent="0.3">
      <c r="J410">
        <v>405</v>
      </c>
      <c r="V410">
        <f t="shared" si="102"/>
        <v>0</v>
      </c>
      <c r="X410">
        <f t="shared" si="103"/>
        <v>0</v>
      </c>
      <c r="Y410">
        <f t="shared" si="104"/>
        <v>1.5707963267948966</v>
      </c>
      <c r="Z410">
        <f t="shared" si="105"/>
        <v>90</v>
      </c>
      <c r="AA410">
        <f t="shared" si="106"/>
        <v>6</v>
      </c>
      <c r="AB410">
        <f t="shared" si="107"/>
        <v>12</v>
      </c>
    </row>
    <row r="411" spans="10:28" x14ac:dyDescent="0.3">
      <c r="J411">
        <v>406</v>
      </c>
      <c r="V411">
        <f t="shared" si="102"/>
        <v>0</v>
      </c>
      <c r="X411">
        <f t="shared" si="103"/>
        <v>0</v>
      </c>
      <c r="Y411">
        <f t="shared" si="104"/>
        <v>1.5707963267948966</v>
      </c>
      <c r="Z411">
        <f t="shared" si="105"/>
        <v>90</v>
      </c>
      <c r="AA411">
        <f t="shared" si="106"/>
        <v>6</v>
      </c>
      <c r="AB411">
        <f t="shared" si="107"/>
        <v>12</v>
      </c>
    </row>
    <row r="412" spans="10:28" x14ac:dyDescent="0.3">
      <c r="J412">
        <v>407</v>
      </c>
      <c r="V412">
        <f t="shared" si="102"/>
        <v>0</v>
      </c>
      <c r="X412">
        <f t="shared" si="103"/>
        <v>0</v>
      </c>
      <c r="Y412">
        <f t="shared" si="104"/>
        <v>1.5707963267948966</v>
      </c>
      <c r="Z412">
        <f t="shared" si="105"/>
        <v>90</v>
      </c>
      <c r="AA412">
        <f t="shared" si="106"/>
        <v>6</v>
      </c>
      <c r="AB412">
        <f t="shared" si="107"/>
        <v>12</v>
      </c>
    </row>
    <row r="413" spans="10:28" x14ac:dyDescent="0.3">
      <c r="J413">
        <v>408</v>
      </c>
      <c r="V413">
        <f t="shared" si="102"/>
        <v>0</v>
      </c>
      <c r="X413">
        <f t="shared" si="103"/>
        <v>0</v>
      </c>
      <c r="Y413">
        <f t="shared" si="104"/>
        <v>1.5707963267948966</v>
      </c>
      <c r="Z413">
        <f t="shared" si="105"/>
        <v>90</v>
      </c>
      <c r="AA413">
        <f t="shared" si="106"/>
        <v>6</v>
      </c>
      <c r="AB413">
        <f t="shared" si="107"/>
        <v>12</v>
      </c>
    </row>
    <row r="414" spans="10:28" x14ac:dyDescent="0.3">
      <c r="J414">
        <v>409</v>
      </c>
      <c r="V414">
        <f t="shared" si="102"/>
        <v>0</v>
      </c>
      <c r="X414">
        <f t="shared" si="103"/>
        <v>0</v>
      </c>
      <c r="Y414">
        <f t="shared" si="104"/>
        <v>1.5707963267948966</v>
      </c>
      <c r="Z414">
        <f t="shared" si="105"/>
        <v>90</v>
      </c>
      <c r="AA414">
        <f t="shared" si="106"/>
        <v>6</v>
      </c>
      <c r="AB414">
        <f t="shared" si="107"/>
        <v>12</v>
      </c>
    </row>
    <row r="415" spans="10:28" x14ac:dyDescent="0.3">
      <c r="J415">
        <v>410</v>
      </c>
      <c r="V415">
        <f t="shared" si="102"/>
        <v>0</v>
      </c>
      <c r="X415">
        <f t="shared" si="103"/>
        <v>0</v>
      </c>
      <c r="Y415">
        <f t="shared" si="104"/>
        <v>1.5707963267948966</v>
      </c>
      <c r="Z415">
        <f t="shared" si="105"/>
        <v>90</v>
      </c>
      <c r="AA415">
        <f t="shared" si="106"/>
        <v>6</v>
      </c>
      <c r="AB415">
        <f t="shared" si="107"/>
        <v>12</v>
      </c>
    </row>
    <row r="416" spans="10:28" x14ac:dyDescent="0.3">
      <c r="J416">
        <v>411</v>
      </c>
      <c r="V416">
        <f t="shared" si="102"/>
        <v>0</v>
      </c>
      <c r="X416">
        <f t="shared" si="103"/>
        <v>0</v>
      </c>
      <c r="Y416">
        <f t="shared" si="104"/>
        <v>1.5707963267948966</v>
      </c>
      <c r="Z416">
        <f t="shared" si="105"/>
        <v>90</v>
      </c>
      <c r="AA416">
        <f t="shared" si="106"/>
        <v>6</v>
      </c>
      <c r="AB416">
        <f t="shared" si="107"/>
        <v>12</v>
      </c>
    </row>
    <row r="417" spans="10:28" x14ac:dyDescent="0.3">
      <c r="J417">
        <v>412</v>
      </c>
      <c r="V417">
        <f t="shared" si="102"/>
        <v>0</v>
      </c>
      <c r="X417">
        <f t="shared" si="103"/>
        <v>0</v>
      </c>
      <c r="Y417">
        <f t="shared" si="104"/>
        <v>1.5707963267948966</v>
      </c>
      <c r="Z417">
        <f t="shared" si="105"/>
        <v>90</v>
      </c>
      <c r="AA417">
        <f t="shared" si="106"/>
        <v>6</v>
      </c>
      <c r="AB417">
        <f t="shared" si="107"/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D4A6-9833-4949-AB4A-A43C99972C76}">
  <dimension ref="AJ4:AJ6"/>
  <sheetViews>
    <sheetView topLeftCell="AA6" workbookViewId="0">
      <selection activeCell="AD20" sqref="AD20"/>
    </sheetView>
  </sheetViews>
  <sheetFormatPr defaultRowHeight="14.4" x14ac:dyDescent="0.3"/>
  <sheetData>
    <row r="4" spans="36:36" x14ac:dyDescent="0.3">
      <c r="AJ4" t="s">
        <v>40</v>
      </c>
    </row>
    <row r="6" spans="36:36" x14ac:dyDescent="0.3">
      <c r="AJ6" t="s">
        <v>41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 Fraidenraich</dc:creator>
  <cp:lastModifiedBy>Naum Fraidenraich</cp:lastModifiedBy>
  <dcterms:created xsi:type="dcterms:W3CDTF">2025-12-20T20:28:02Z</dcterms:created>
  <dcterms:modified xsi:type="dcterms:W3CDTF">2025-12-21T22:13:40Z</dcterms:modified>
</cp:coreProperties>
</file>